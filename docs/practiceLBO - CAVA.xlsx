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camden/Desktop/OMW to THE BANK/practiceLBOs/"/>
    </mc:Choice>
  </mc:AlternateContent>
  <xr:revisionPtr revIDLastSave="0" documentId="13_ncr:1_{632EB923-8C57-9846-9E1E-8BEAF24D35FF}" xr6:coauthVersionLast="47" xr6:coauthVersionMax="47" xr10:uidLastSave="{00000000-0000-0000-0000-000000000000}"/>
  <bookViews>
    <workbookView xWindow="0" yWindow="660" windowWidth="29400" windowHeight="18460" activeTab="1" xr2:uid="{47A840CA-FB20-6C4E-AA66-ADD4A29BD02A}"/>
  </bookViews>
  <sheets>
    <sheet name="Assumptions" sheetId="4" r:id="rId1"/>
    <sheet name="Sources &amp; Uses" sheetId="5" r:id="rId2"/>
    <sheet name="Financial Statements" sheetId="2" r:id="rId3"/>
    <sheet name="Schedules" sheetId="1" r:id="rId4"/>
    <sheet name="Loan Terms Derivation" sheetId="3" r:id="rId5"/>
    <sheet name="Tax Schedules " sheetId="9" r:id="rId6"/>
    <sheet name="Exit Waterfall" sheetId="6" r:id="rId7"/>
    <sheet name="Ratios &amp; Statistics" sheetId="8" r:id="rId8"/>
    <sheet name="Sensitivity Analysis" sheetId="7" r:id="rId9"/>
  </sheets>
  <calcPr calcId="191029" iterate="1" iterateCount="30000" iterateDelta="9.9999999999999995E-7"/>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4" l="1" a="1"/>
  <c r="C9" i="4" s="1"/>
  <c r="L14" i="2"/>
  <c r="L23" i="2"/>
  <c r="L25" i="2" s="1"/>
  <c r="L31" i="2"/>
  <c r="L41" i="2"/>
  <c r="L43" i="2" s="1"/>
  <c r="L48" i="2" s="1"/>
  <c r="F63" i="2"/>
  <c r="F64" i="2" s="1"/>
  <c r="G63" i="2"/>
  <c r="G64" i="2" s="1"/>
  <c r="H63" i="2"/>
  <c r="H64" i="2" s="1"/>
  <c r="I63" i="2"/>
  <c r="I64" i="2" s="1"/>
  <c r="J63" i="2"/>
  <c r="J64" i="2" s="1"/>
  <c r="E86" i="2"/>
  <c r="E87" i="2"/>
  <c r="E88" i="2"/>
  <c r="F88" i="2"/>
  <c r="G88" i="2"/>
  <c r="H88" i="2"/>
  <c r="I88" i="2"/>
  <c r="J88" i="2"/>
  <c r="E89" i="2"/>
  <c r="E92" i="2"/>
  <c r="E101" i="2" s="1"/>
  <c r="E95" i="2"/>
  <c r="E96" i="2"/>
  <c r="F96" i="2"/>
  <c r="G96" i="2"/>
  <c r="H96" i="2"/>
  <c r="I96" i="2"/>
  <c r="J96" i="2"/>
  <c r="F99" i="2"/>
  <c r="G99" i="2"/>
  <c r="H99" i="2"/>
  <c r="I99" i="2"/>
  <c r="J99" i="2"/>
  <c r="E105" i="2"/>
  <c r="E106" i="2"/>
  <c r="M10" i="2"/>
  <c r="N10" i="2" s="1"/>
  <c r="E10" i="2" s="1"/>
  <c r="N11" i="2"/>
  <c r="E11" i="2" s="1"/>
  <c r="N12" i="2"/>
  <c r="E12" i="2" s="1"/>
  <c r="N13" i="2"/>
  <c r="E13" i="2" s="1"/>
  <c r="N17" i="2"/>
  <c r="E17" i="2" s="1"/>
  <c r="H17" i="2" s="1"/>
  <c r="N19" i="2"/>
  <c r="E19" i="2" s="1"/>
  <c r="N20" i="2"/>
  <c r="E20" i="2" s="1"/>
  <c r="N21" i="2"/>
  <c r="E21" i="2" s="1"/>
  <c r="H21" i="2" s="1"/>
  <c r="N28" i="2"/>
  <c r="E28" i="2" s="1"/>
  <c r="N29" i="2"/>
  <c r="E29" i="2" s="1"/>
  <c r="N30" i="2"/>
  <c r="E30" i="2" s="1"/>
  <c r="N34" i="2"/>
  <c r="E34" i="2" s="1"/>
  <c r="N35" i="2"/>
  <c r="E35" i="2" s="1"/>
  <c r="E56" i="9"/>
  <c r="E62" i="9"/>
  <c r="F59" i="9" s="1"/>
  <c r="E43" i="9"/>
  <c r="E46" i="9"/>
  <c r="F9" i="9"/>
  <c r="G9" i="9" s="1"/>
  <c r="H9" i="9" s="1"/>
  <c r="I9" i="9" s="1"/>
  <c r="J9" i="9" s="1"/>
  <c r="F12" i="9"/>
  <c r="G12" i="9"/>
  <c r="H12" i="9" s="1"/>
  <c r="I12" i="9" s="1"/>
  <c r="J12" i="9" s="1"/>
  <c r="C13" i="9"/>
  <c r="C14" i="9" s="1"/>
  <c r="D73" i="9"/>
  <c r="D76" i="9" s="1"/>
  <c r="E73" i="9" s="1"/>
  <c r="E76" i="9" s="1"/>
  <c r="F73" i="9" s="1"/>
  <c r="C92" i="2"/>
  <c r="C101" i="2" s="1"/>
  <c r="C17" i="8" s="1"/>
  <c r="D92" i="2"/>
  <c r="D101" i="2" s="1"/>
  <c r="D17" i="8" s="1"/>
  <c r="E12" i="8"/>
  <c r="D12" i="8"/>
  <c r="C12" i="8"/>
  <c r="E11" i="8"/>
  <c r="D11" i="8"/>
  <c r="C11" i="8"/>
  <c r="E10" i="8"/>
  <c r="D10" i="8"/>
  <c r="C10" i="8"/>
  <c r="E9" i="8"/>
  <c r="D9" i="8"/>
  <c r="C9" i="8"/>
  <c r="E8" i="8"/>
  <c r="D8" i="8"/>
  <c r="C8" i="8"/>
  <c r="E7" i="8"/>
  <c r="D7" i="8"/>
  <c r="D41" i="2"/>
  <c r="C41" i="2"/>
  <c r="D31" i="2"/>
  <c r="C31" i="2"/>
  <c r="D23" i="2"/>
  <c r="C23" i="2"/>
  <c r="D14" i="2"/>
  <c r="C14" i="2"/>
  <c r="D62" i="9"/>
  <c r="E59" i="9" s="1"/>
  <c r="C62" i="9"/>
  <c r="D59" i="9" s="1"/>
  <c r="D56" i="9"/>
  <c r="C56" i="9"/>
  <c r="D46" i="9"/>
  <c r="C46" i="9"/>
  <c r="D43" i="9"/>
  <c r="C43" i="9"/>
  <c r="F32" i="9"/>
  <c r="F10" i="9" s="1"/>
  <c r="G10" i="9" s="1"/>
  <c r="H10" i="9" s="1"/>
  <c r="I10" i="9" s="1"/>
  <c r="J10" i="9" s="1"/>
  <c r="J31" i="9"/>
  <c r="I31" i="9"/>
  <c r="H31" i="9"/>
  <c r="G31" i="9"/>
  <c r="F31" i="9"/>
  <c r="F11" i="9" s="1"/>
  <c r="J30" i="9"/>
  <c r="I30" i="9"/>
  <c r="H30" i="9"/>
  <c r="G30" i="9"/>
  <c r="F30" i="9"/>
  <c r="F16" i="9" s="1"/>
  <c r="G16" i="9" s="1"/>
  <c r="J29" i="9"/>
  <c r="I29" i="9"/>
  <c r="H29" i="9"/>
  <c r="G29" i="9"/>
  <c r="F29" i="9"/>
  <c r="F8" i="9" s="1"/>
  <c r="D19" i="9"/>
  <c r="C19" i="9"/>
  <c r="N11" i="9"/>
  <c r="J28" i="9" s="1"/>
  <c r="C30" i="4"/>
  <c r="D9" i="6" a="1"/>
  <c r="D9" i="6" s="1"/>
  <c r="D8" i="6" a="1"/>
  <c r="D8" i="6" s="1"/>
  <c r="I8" i="6" s="1"/>
  <c r="E7" i="6"/>
  <c r="D7" i="6" a="1"/>
  <c r="D7" i="6" s="1"/>
  <c r="I7" i="6" s="1"/>
  <c r="D6" i="6" a="1"/>
  <c r="D6" i="6" s="1"/>
  <c r="I6" i="6" s="1"/>
  <c r="D5" i="6" a="1"/>
  <c r="D5" i="6" s="1"/>
  <c r="I5" i="6" s="1"/>
  <c r="G39" i="4"/>
  <c r="C10" i="4" a="1"/>
  <c r="C10" i="4" s="1"/>
  <c r="J25" i="1"/>
  <c r="I25" i="1"/>
  <c r="H25" i="1"/>
  <c r="C19" i="4"/>
  <c r="F41" i="4"/>
  <c r="K37" i="4"/>
  <c r="C16" i="4"/>
  <c r="D37" i="4" s="1"/>
  <c r="J37" i="4" s="1"/>
  <c r="C41" i="3"/>
  <c r="E41" i="4" s="1"/>
  <c r="C24" i="3"/>
  <c r="C26" i="3" s="1"/>
  <c r="E39" i="4" s="1"/>
  <c r="C16" i="3"/>
  <c r="C34" i="3" s="1"/>
  <c r="E40" i="4" s="1"/>
  <c r="C8" i="3"/>
  <c r="E37" i="4" s="1"/>
  <c r="D101" i="1"/>
  <c r="C101" i="1"/>
  <c r="D106" i="2"/>
  <c r="C106" i="2"/>
  <c r="D105" i="2"/>
  <c r="C105" i="2"/>
  <c r="D96" i="2"/>
  <c r="C96" i="2"/>
  <c r="D95" i="2"/>
  <c r="C95" i="2"/>
  <c r="D89" i="2"/>
  <c r="C89" i="2"/>
  <c r="D88" i="2"/>
  <c r="C88" i="2"/>
  <c r="D87" i="2"/>
  <c r="C87" i="2"/>
  <c r="D86" i="2"/>
  <c r="C86" i="2"/>
  <c r="E50" i="1"/>
  <c r="D50" i="1"/>
  <c r="C50" i="1"/>
  <c r="E49" i="1"/>
  <c r="D49" i="1"/>
  <c r="C49" i="1"/>
  <c r="E47" i="1"/>
  <c r="D47" i="1"/>
  <c r="C47" i="1"/>
  <c r="J26" i="1"/>
  <c r="I26" i="1"/>
  <c r="H26" i="1"/>
  <c r="E43" i="1"/>
  <c r="D43" i="1"/>
  <c r="C43" i="1"/>
  <c r="G11" i="9" l="1"/>
  <c r="H11" i="9" s="1"/>
  <c r="I11" i="9" s="1"/>
  <c r="J11" i="9" s="1"/>
  <c r="G8" i="9"/>
  <c r="H8" i="9" s="1"/>
  <c r="I8" i="9" s="1"/>
  <c r="J8" i="9" s="1"/>
  <c r="I35" i="2"/>
  <c r="F35" i="2"/>
  <c r="E31" i="2"/>
  <c r="F79" i="2"/>
  <c r="F13" i="2"/>
  <c r="G13" i="2"/>
  <c r="H13" i="2"/>
  <c r="I13" i="2"/>
  <c r="J13" i="2"/>
  <c r="H19" i="2"/>
  <c r="G19" i="2"/>
  <c r="F19" i="2"/>
  <c r="J19" i="2"/>
  <c r="I19" i="2"/>
  <c r="L49" i="2"/>
  <c r="G34" i="2"/>
  <c r="J34" i="2"/>
  <c r="H34" i="2"/>
  <c r="I34" i="2"/>
  <c r="F34" i="2"/>
  <c r="J30" i="2"/>
  <c r="F30" i="2"/>
  <c r="H30" i="2"/>
  <c r="I30" i="2"/>
  <c r="G30" i="2"/>
  <c r="H35" i="2"/>
  <c r="G21" i="2"/>
  <c r="G17" i="2"/>
  <c r="G35" i="2"/>
  <c r="F21" i="2"/>
  <c r="F17" i="2"/>
  <c r="J21" i="2"/>
  <c r="J17" i="2"/>
  <c r="J35" i="2"/>
  <c r="I21" i="2"/>
  <c r="I17" i="2"/>
  <c r="N14" i="2"/>
  <c r="E14" i="2" s="1"/>
  <c r="E109" i="2"/>
  <c r="E17" i="8"/>
  <c r="N31" i="2"/>
  <c r="E61" i="9"/>
  <c r="H16" i="9"/>
  <c r="D13" i="9"/>
  <c r="D14" i="9" s="1"/>
  <c r="D21" i="9" s="1"/>
  <c r="D24" i="9" s="1"/>
  <c r="D61" i="9"/>
  <c r="I9" i="6"/>
  <c r="J9" i="6" s="1"/>
  <c r="E16" i="8"/>
  <c r="C16" i="8"/>
  <c r="D16" i="8"/>
  <c r="D109" i="2"/>
  <c r="C109" i="2"/>
  <c r="C66" i="9" s="1"/>
  <c r="D43" i="2"/>
  <c r="D48" i="2" s="1"/>
  <c r="C43" i="2"/>
  <c r="C48" i="2" s="1"/>
  <c r="C25" i="2"/>
  <c r="D25" i="2"/>
  <c r="C21" i="9"/>
  <c r="C25" i="9" s="1"/>
  <c r="F28" i="9"/>
  <c r="F17" i="9" s="1"/>
  <c r="G28" i="9"/>
  <c r="H28" i="9"/>
  <c r="I28" i="9"/>
  <c r="J8" i="6"/>
  <c r="J7" i="6"/>
  <c r="J5" i="6"/>
  <c r="C14" i="6" s="1"/>
  <c r="J6" i="6"/>
  <c r="C11" i="5"/>
  <c r="M36" i="2" s="1"/>
  <c r="N36" i="2" s="1"/>
  <c r="E36" i="2" s="1"/>
  <c r="E38" i="4"/>
  <c r="C17" i="4"/>
  <c r="D38" i="4"/>
  <c r="I38" i="4" s="1"/>
  <c r="D41" i="4"/>
  <c r="D40" i="4"/>
  <c r="I40" i="4" s="1"/>
  <c r="D39" i="4"/>
  <c r="I39" i="4" s="1"/>
  <c r="C42" i="3"/>
  <c r="F37" i="1"/>
  <c r="F65" i="1" s="1"/>
  <c r="F66" i="1" s="1"/>
  <c r="C37" i="1"/>
  <c r="E36" i="1"/>
  <c r="D36" i="1"/>
  <c r="C36" i="1"/>
  <c r="F23" i="1"/>
  <c r="D21" i="1"/>
  <c r="D23" i="1" s="1"/>
  <c r="E21" i="1"/>
  <c r="E23" i="1" s="1"/>
  <c r="J28" i="1"/>
  <c r="I28" i="1"/>
  <c r="H28" i="1"/>
  <c r="G28" i="1"/>
  <c r="F28" i="1"/>
  <c r="E31" i="1"/>
  <c r="E29" i="1" s="1"/>
  <c r="D31" i="1"/>
  <c r="D29" i="1" s="1"/>
  <c r="C31" i="1"/>
  <c r="C29" i="1" s="1"/>
  <c r="F20" i="1"/>
  <c r="E35" i="1"/>
  <c r="D35" i="1"/>
  <c r="C35" i="1"/>
  <c r="C59" i="1" s="1"/>
  <c r="D76" i="1"/>
  <c r="C76" i="1"/>
  <c r="D77" i="1"/>
  <c r="C77" i="1"/>
  <c r="C81" i="1"/>
  <c r="C80" i="1"/>
  <c r="D81" i="1"/>
  <c r="D80" i="1"/>
  <c r="D96" i="1"/>
  <c r="C96" i="1"/>
  <c r="C104" i="2" s="1"/>
  <c r="E96" i="1"/>
  <c r="E104" i="2" s="1"/>
  <c r="C85" i="1"/>
  <c r="D85" i="1"/>
  <c r="D84" i="1"/>
  <c r="C84" i="1"/>
  <c r="G17" i="9" l="1"/>
  <c r="H17" i="9" s="1"/>
  <c r="I17" i="9" s="1"/>
  <c r="J17" i="9" s="1"/>
  <c r="E113" i="2"/>
  <c r="E19" i="8" s="1"/>
  <c r="E66" i="9"/>
  <c r="I16" i="9"/>
  <c r="E18" i="8"/>
  <c r="D18" i="8"/>
  <c r="D66" i="9"/>
  <c r="E13" i="9"/>
  <c r="E14" i="9" s="1"/>
  <c r="D25" i="9"/>
  <c r="C24" i="9"/>
  <c r="C113" i="2"/>
  <c r="C19" i="8" s="1"/>
  <c r="C18" i="8"/>
  <c r="D113" i="2"/>
  <c r="D19" i="8" s="1"/>
  <c r="D49" i="2"/>
  <c r="C117" i="2"/>
  <c r="C20" i="8" s="1"/>
  <c r="C49" i="2"/>
  <c r="C69" i="1"/>
  <c r="C53" i="1"/>
  <c r="D69" i="1"/>
  <c r="D53" i="1"/>
  <c r="D59" i="1"/>
  <c r="D52" i="1"/>
  <c r="E69" i="1"/>
  <c r="E53" i="1"/>
  <c r="E59" i="1"/>
  <c r="E52" i="1"/>
  <c r="G20" i="1"/>
  <c r="H20" i="1" s="1"/>
  <c r="C20" i="4"/>
  <c r="C14" i="4" s="1"/>
  <c r="C25" i="5"/>
  <c r="C13" i="5"/>
  <c r="M38" i="2" s="1"/>
  <c r="N38" i="2" s="1"/>
  <c r="E38" i="2" s="1"/>
  <c r="I41" i="4"/>
  <c r="C15" i="5"/>
  <c r="M40" i="2" s="1"/>
  <c r="N40" i="2" s="1"/>
  <c r="E40" i="2" s="1"/>
  <c r="C14" i="5"/>
  <c r="M39" i="2" s="1"/>
  <c r="N39" i="2" s="1"/>
  <c r="E39" i="2" s="1"/>
  <c r="C24" i="5"/>
  <c r="M22" i="2" s="1"/>
  <c r="C12" i="5"/>
  <c r="M37" i="2" s="1"/>
  <c r="N37" i="2" s="1"/>
  <c r="E37" i="2" s="1"/>
  <c r="C25" i="4"/>
  <c r="C23" i="5" s="1"/>
  <c r="D99" i="1"/>
  <c r="D102" i="1" s="1"/>
  <c r="D104" i="2"/>
  <c r="E99" i="1"/>
  <c r="E102" i="1" s="1"/>
  <c r="C56" i="1"/>
  <c r="D56" i="1"/>
  <c r="E56" i="1"/>
  <c r="F36" i="1"/>
  <c r="F69" i="1" s="1"/>
  <c r="C55" i="1"/>
  <c r="D55" i="1"/>
  <c r="E37" i="1"/>
  <c r="E55" i="1"/>
  <c r="D37" i="1"/>
  <c r="C54" i="1"/>
  <c r="D54" i="1"/>
  <c r="E54" i="1"/>
  <c r="F29" i="1"/>
  <c r="F31" i="1" s="1"/>
  <c r="F84" i="2" s="1"/>
  <c r="D82" i="1"/>
  <c r="C52" i="1"/>
  <c r="C89" i="1"/>
  <c r="D89" i="1"/>
  <c r="D90" i="1"/>
  <c r="D92" i="1"/>
  <c r="C82" i="1"/>
  <c r="D91" i="1"/>
  <c r="C99" i="1"/>
  <c r="C92" i="1"/>
  <c r="C90" i="1"/>
  <c r="C91" i="1"/>
  <c r="C78" i="1"/>
  <c r="D78" i="1"/>
  <c r="J202" i="1"/>
  <c r="I202" i="1"/>
  <c r="H202" i="1"/>
  <c r="G202" i="1"/>
  <c r="F202" i="1"/>
  <c r="J205" i="1"/>
  <c r="I205" i="1"/>
  <c r="H205" i="1"/>
  <c r="G205" i="1"/>
  <c r="F205" i="1"/>
  <c r="J187" i="1"/>
  <c r="I187" i="1"/>
  <c r="H187" i="1"/>
  <c r="G187" i="1"/>
  <c r="F187" i="1"/>
  <c r="J173" i="1"/>
  <c r="I173" i="1"/>
  <c r="H173" i="1"/>
  <c r="G173" i="1"/>
  <c r="F173" i="1"/>
  <c r="J158" i="1"/>
  <c r="I158" i="1"/>
  <c r="H158" i="1"/>
  <c r="G158" i="1"/>
  <c r="F158" i="1"/>
  <c r="J142" i="1"/>
  <c r="I142" i="1"/>
  <c r="H142" i="1"/>
  <c r="G142" i="1"/>
  <c r="F142" i="1"/>
  <c r="C45" i="9" l="1"/>
  <c r="D117" i="2"/>
  <c r="D20" i="8" s="1"/>
  <c r="E45" i="9"/>
  <c r="E117" i="2"/>
  <c r="E20" i="8" s="1"/>
  <c r="N22" i="2"/>
  <c r="E22" i="2" s="1"/>
  <c r="C8" i="1"/>
  <c r="J16" i="9"/>
  <c r="F7" i="8"/>
  <c r="G21" i="1"/>
  <c r="G23" i="1" s="1"/>
  <c r="G36" i="1"/>
  <c r="G69" i="1" s="1"/>
  <c r="I20" i="1"/>
  <c r="H21" i="1"/>
  <c r="H23" i="1" s="1"/>
  <c r="H36" i="1"/>
  <c r="H69" i="1" s="1"/>
  <c r="C26" i="5"/>
  <c r="C18" i="5" s="1"/>
  <c r="D58" i="1"/>
  <c r="D65" i="1"/>
  <c r="D66" i="1" s="1"/>
  <c r="D68" i="1" s="1"/>
  <c r="D70" i="1" s="1"/>
  <c r="E58" i="1"/>
  <c r="E65" i="1"/>
  <c r="E66" i="1" s="1"/>
  <c r="E68" i="1" s="1"/>
  <c r="E70" i="1" s="1"/>
  <c r="F53" i="1"/>
  <c r="E57" i="1"/>
  <c r="D57" i="1"/>
  <c r="F55" i="1"/>
  <c r="I55" i="1" s="1"/>
  <c r="F54" i="1"/>
  <c r="F41" i="1" s="1"/>
  <c r="G29" i="1"/>
  <c r="H29" i="1" s="1"/>
  <c r="F52" i="1"/>
  <c r="I52" i="1" s="1"/>
  <c r="D45" i="9"/>
  <c r="J137" i="1"/>
  <c r="I137" i="1"/>
  <c r="H137" i="1"/>
  <c r="G137" i="1"/>
  <c r="F137" i="1"/>
  <c r="J128" i="1"/>
  <c r="I128" i="1"/>
  <c r="H128" i="1"/>
  <c r="G128" i="1"/>
  <c r="F128" i="1"/>
  <c r="C109" i="1"/>
  <c r="C105" i="1"/>
  <c r="E85" i="1"/>
  <c r="E84" i="1"/>
  <c r="C7" i="5" l="1"/>
  <c r="C17" i="5" s="1"/>
  <c r="G37" i="1"/>
  <c r="G65" i="1" s="1"/>
  <c r="G66" i="1" s="1"/>
  <c r="H37" i="1"/>
  <c r="H65" i="1" s="1"/>
  <c r="H66" i="1" s="1"/>
  <c r="I53" i="1"/>
  <c r="F40" i="1"/>
  <c r="F87" i="2" s="1"/>
  <c r="I36" i="1"/>
  <c r="I69" i="1" s="1"/>
  <c r="J20" i="1"/>
  <c r="I21" i="1"/>
  <c r="F70" i="1"/>
  <c r="F68" i="1" s="1"/>
  <c r="F72" i="1" s="1"/>
  <c r="F58" i="1"/>
  <c r="I58" i="1" s="1"/>
  <c r="F57" i="1"/>
  <c r="F46" i="1" s="1"/>
  <c r="G53" i="1"/>
  <c r="G40" i="1" s="1"/>
  <c r="G87" i="2" s="1"/>
  <c r="H53" i="1"/>
  <c r="H40" i="1" s="1"/>
  <c r="H87" i="2" s="1"/>
  <c r="J53" i="1"/>
  <c r="G55" i="1"/>
  <c r="J55" i="1"/>
  <c r="H55" i="1"/>
  <c r="G31" i="1"/>
  <c r="G84" i="2" s="1"/>
  <c r="J54" i="1"/>
  <c r="G54" i="1"/>
  <c r="G41" i="1" s="1"/>
  <c r="H54" i="1"/>
  <c r="H41" i="1" s="1"/>
  <c r="I54" i="1"/>
  <c r="J52" i="1"/>
  <c r="I29" i="1"/>
  <c r="H31" i="1"/>
  <c r="H84" i="2" s="1"/>
  <c r="G52" i="1"/>
  <c r="H52" i="1"/>
  <c r="E81" i="1"/>
  <c r="E92" i="1" s="1"/>
  <c r="E80" i="1"/>
  <c r="C16" i="5" l="1"/>
  <c r="M46" i="2" s="1"/>
  <c r="N46" i="2" s="1"/>
  <c r="E46" i="2" s="1"/>
  <c r="C22" i="6"/>
  <c r="G7" i="8"/>
  <c r="I41" i="1"/>
  <c r="I40" i="1"/>
  <c r="I87" i="2" s="1"/>
  <c r="I23" i="1"/>
  <c r="I37" i="1"/>
  <c r="I65" i="1" s="1"/>
  <c r="I66" i="1" s="1"/>
  <c r="J21" i="1"/>
  <c r="J36" i="1"/>
  <c r="J69" i="1" s="1"/>
  <c r="K20" i="1"/>
  <c r="J70" i="1"/>
  <c r="J58" i="1"/>
  <c r="F49" i="1"/>
  <c r="F98" i="2" s="1"/>
  <c r="I70" i="1"/>
  <c r="I68" i="1" s="1"/>
  <c r="G58" i="1"/>
  <c r="G49" i="1" s="1"/>
  <c r="G98" i="2" s="1"/>
  <c r="H58" i="1"/>
  <c r="H49" i="1" s="1"/>
  <c r="H98" i="2" s="1"/>
  <c r="G70" i="1"/>
  <c r="G68" i="1" s="1"/>
  <c r="G72" i="1" s="1"/>
  <c r="H70" i="1"/>
  <c r="H68" i="1" s="1"/>
  <c r="H72" i="1" s="1"/>
  <c r="J57" i="1"/>
  <c r="H57" i="1"/>
  <c r="H46" i="1" s="1"/>
  <c r="G57" i="1"/>
  <c r="G46" i="1" s="1"/>
  <c r="I57" i="1"/>
  <c r="J29" i="1"/>
  <c r="J31" i="1" s="1"/>
  <c r="J84" i="2" s="1"/>
  <c r="I31" i="1"/>
  <c r="I84" i="2" s="1"/>
  <c r="E91" i="1"/>
  <c r="E82" i="1"/>
  <c r="I92" i="1"/>
  <c r="H92" i="1"/>
  <c r="F92" i="1"/>
  <c r="G92" i="1"/>
  <c r="J92" i="1"/>
  <c r="E77" i="1"/>
  <c r="E90" i="1" s="1"/>
  <c r="E76" i="1"/>
  <c r="F35" i="1"/>
  <c r="F45" i="1" s="1"/>
  <c r="F95" i="2" s="1"/>
  <c r="F196" i="1"/>
  <c r="C21" i="6" l="1"/>
  <c r="C41" i="6" s="1"/>
  <c r="F56" i="1"/>
  <c r="I7" i="8"/>
  <c r="H7" i="8"/>
  <c r="J7" i="8"/>
  <c r="C23" i="6"/>
  <c r="C24" i="6" s="1"/>
  <c r="C28" i="6" s="1"/>
  <c r="I46" i="1"/>
  <c r="I72" i="1"/>
  <c r="J40" i="1"/>
  <c r="J87" i="2" s="1"/>
  <c r="J41" i="1"/>
  <c r="K21" i="1"/>
  <c r="L20" i="1"/>
  <c r="J37" i="1"/>
  <c r="J65" i="1" s="1"/>
  <c r="J66" i="1" s="1"/>
  <c r="J23" i="1"/>
  <c r="J68" i="1"/>
  <c r="I49" i="1"/>
  <c r="I98" i="2" s="1"/>
  <c r="C13" i="6"/>
  <c r="C15" i="6" s="1"/>
  <c r="C18" i="3"/>
  <c r="C20" i="3" s="1"/>
  <c r="H38" i="4" s="1"/>
  <c r="F59" i="1"/>
  <c r="F39" i="1"/>
  <c r="F86" i="2" s="1"/>
  <c r="F42" i="1"/>
  <c r="F89" i="2" s="1"/>
  <c r="E78" i="1"/>
  <c r="F206" i="1"/>
  <c r="F27" i="8" s="1"/>
  <c r="G140" i="1"/>
  <c r="J140" i="1"/>
  <c r="H140" i="1"/>
  <c r="I140" i="1"/>
  <c r="F140" i="1"/>
  <c r="F84" i="1"/>
  <c r="F81" i="1" s="1"/>
  <c r="F29" i="2" s="1"/>
  <c r="F57" i="2" s="1"/>
  <c r="E89" i="1"/>
  <c r="J90" i="1"/>
  <c r="I90" i="1"/>
  <c r="H90" i="1"/>
  <c r="G90" i="1"/>
  <c r="F90" i="1"/>
  <c r="G91" i="1"/>
  <c r="F91" i="1"/>
  <c r="J91" i="1"/>
  <c r="I91" i="1"/>
  <c r="H91" i="1"/>
  <c r="G35" i="1"/>
  <c r="G45" i="1" s="1"/>
  <c r="G95" i="2" s="1"/>
  <c r="F152" i="1"/>
  <c r="F167" i="1"/>
  <c r="F182" i="1"/>
  <c r="G56" i="1" l="1"/>
  <c r="J49" i="1"/>
  <c r="J98" i="2" s="1"/>
  <c r="J72" i="1"/>
  <c r="J46" i="1"/>
  <c r="M21" i="1"/>
  <c r="L21" i="1"/>
  <c r="C27" i="6"/>
  <c r="C26" i="6"/>
  <c r="J155" i="1"/>
  <c r="J73" i="2" s="1"/>
  <c r="I155" i="1"/>
  <c r="I73" i="2" s="1"/>
  <c r="H155" i="1"/>
  <c r="H73" i="2" s="1"/>
  <c r="G155" i="1"/>
  <c r="G73" i="2" s="1"/>
  <c r="F155" i="1"/>
  <c r="F73" i="2" s="1"/>
  <c r="F47" i="1"/>
  <c r="F97" i="2" s="1"/>
  <c r="G59" i="1"/>
  <c r="N40" i="9" a="1"/>
  <c r="N40" i="9" s="1"/>
  <c r="F43" i="1"/>
  <c r="F90" i="2" s="1"/>
  <c r="F92" i="2" s="1"/>
  <c r="G42" i="1"/>
  <c r="G89" i="2" s="1"/>
  <c r="G39" i="1"/>
  <c r="G86" i="2" s="1"/>
  <c r="F127" i="1"/>
  <c r="F199" i="1"/>
  <c r="F55" i="2" s="1"/>
  <c r="F170" i="1"/>
  <c r="F74" i="2" s="1"/>
  <c r="F117" i="1"/>
  <c r="G84" i="1"/>
  <c r="G81" i="1" s="1"/>
  <c r="G29" i="2" s="1"/>
  <c r="G57" i="2" s="1"/>
  <c r="G89" i="1"/>
  <c r="F89" i="1"/>
  <c r="F76" i="1" s="1"/>
  <c r="F11" i="2" s="1"/>
  <c r="F59" i="2" s="1"/>
  <c r="J89" i="1"/>
  <c r="I89" i="1"/>
  <c r="H89" i="1"/>
  <c r="F101" i="2" l="1"/>
  <c r="N41" i="9"/>
  <c r="C29" i="6"/>
  <c r="G47" i="1"/>
  <c r="G97" i="2" s="1"/>
  <c r="G43" i="1"/>
  <c r="G90" i="2" s="1"/>
  <c r="G92" i="2" s="1"/>
  <c r="H35" i="1"/>
  <c r="H45" i="1" s="1"/>
  <c r="H95" i="2" s="1"/>
  <c r="F149" i="1"/>
  <c r="F129" i="1"/>
  <c r="F30" i="8" s="1"/>
  <c r="H84" i="1"/>
  <c r="H81" i="1" s="1"/>
  <c r="H29" i="2" s="1"/>
  <c r="H57" i="2" s="1"/>
  <c r="F132" i="1"/>
  <c r="G117" i="1"/>
  <c r="G76" i="1"/>
  <c r="G11" i="2" s="1"/>
  <c r="G59" i="2" s="1"/>
  <c r="G101" i="2" l="1"/>
  <c r="F9" i="8"/>
  <c r="F8" i="8"/>
  <c r="F16" i="8"/>
  <c r="H59" i="1"/>
  <c r="H42" i="1"/>
  <c r="H89" i="2" s="1"/>
  <c r="H39" i="1"/>
  <c r="H86" i="2" s="1"/>
  <c r="I84" i="1"/>
  <c r="I81" i="1" s="1"/>
  <c r="I29" i="2" s="1"/>
  <c r="I57" i="2" s="1"/>
  <c r="I35" i="1"/>
  <c r="H76" i="1"/>
  <c r="H11" i="2" s="1"/>
  <c r="H59" i="2" s="1"/>
  <c r="H117" i="1"/>
  <c r="C104" i="1"/>
  <c r="G9" i="8" l="1"/>
  <c r="F17" i="8"/>
  <c r="G8" i="8"/>
  <c r="G16" i="8"/>
  <c r="H43" i="1"/>
  <c r="H90" i="2" s="1"/>
  <c r="H92" i="2" s="1"/>
  <c r="I59" i="1"/>
  <c r="I42" i="1"/>
  <c r="I89" i="2" s="1"/>
  <c r="I39" i="1"/>
  <c r="I86" i="2" s="1"/>
  <c r="I76" i="1"/>
  <c r="I11" i="2" s="1"/>
  <c r="I59" i="2" s="1"/>
  <c r="J35" i="1"/>
  <c r="I117" i="1"/>
  <c r="J84" i="1"/>
  <c r="J81" i="1" s="1"/>
  <c r="J29" i="2" s="1"/>
  <c r="J57" i="2" s="1"/>
  <c r="C106" i="1"/>
  <c r="H98" i="1" s="1"/>
  <c r="H106" i="2" s="1"/>
  <c r="E112" i="1"/>
  <c r="G17" i="8" l="1"/>
  <c r="J59" i="1"/>
  <c r="I43" i="1"/>
  <c r="I90" i="2" s="1"/>
  <c r="I92" i="2" s="1"/>
  <c r="J42" i="1"/>
  <c r="J89" i="2" s="1"/>
  <c r="J39" i="1"/>
  <c r="J86" i="2" s="1"/>
  <c r="J117" i="1"/>
  <c r="J76" i="1"/>
  <c r="J11" i="2" s="1"/>
  <c r="J59" i="2" s="1"/>
  <c r="F112" i="1"/>
  <c r="F22" i="2" s="1"/>
  <c r="J98" i="1"/>
  <c r="J106" i="2" s="1"/>
  <c r="I98" i="1"/>
  <c r="I106" i="2" s="1"/>
  <c r="F98" i="1"/>
  <c r="F106" i="2" s="1"/>
  <c r="G98" i="1"/>
  <c r="G106" i="2" s="1"/>
  <c r="H8" i="8" l="1"/>
  <c r="H16" i="8"/>
  <c r="J43" i="1"/>
  <c r="J90" i="2" s="1"/>
  <c r="J92" i="2" s="1"/>
  <c r="G112" i="1"/>
  <c r="G22" i="2" s="1"/>
  <c r="I8" i="8" l="1"/>
  <c r="I16" i="8"/>
  <c r="H112" i="1"/>
  <c r="H22" i="2" s="1"/>
  <c r="J8" i="8" l="1"/>
  <c r="J16" i="8"/>
  <c r="I112" i="1"/>
  <c r="I22" i="2" s="1"/>
  <c r="J112" i="1" l="1"/>
  <c r="J22" i="2" s="1"/>
  <c r="H85" i="1" l="1"/>
  <c r="H80" i="1" s="1"/>
  <c r="H28" i="2" s="1"/>
  <c r="J85" i="1"/>
  <c r="J80" i="1" s="1"/>
  <c r="J28" i="2" s="1"/>
  <c r="I85" i="1"/>
  <c r="I80" i="1" s="1"/>
  <c r="I28" i="2" s="1"/>
  <c r="G85" i="1"/>
  <c r="G77" i="1" s="1"/>
  <c r="G12" i="2" s="1"/>
  <c r="F85" i="1"/>
  <c r="F80" i="1" s="1"/>
  <c r="F28" i="2" s="1"/>
  <c r="F56" i="2" l="1"/>
  <c r="F31" i="2"/>
  <c r="I56" i="2"/>
  <c r="I31" i="2"/>
  <c r="J31" i="2"/>
  <c r="J56" i="2"/>
  <c r="H31" i="2"/>
  <c r="I82" i="1"/>
  <c r="H77" i="1"/>
  <c r="H12" i="2" s="1"/>
  <c r="H58" i="2" s="1"/>
  <c r="G80" i="1"/>
  <c r="G28" i="2" s="1"/>
  <c r="H56" i="2" s="1"/>
  <c r="J77" i="1"/>
  <c r="J12" i="2" s="1"/>
  <c r="I77" i="1"/>
  <c r="I12" i="2" s="1"/>
  <c r="F77" i="1"/>
  <c r="F12" i="2" s="1"/>
  <c r="F58" i="2" s="1"/>
  <c r="F82" i="1"/>
  <c r="G78" i="1"/>
  <c r="J82" i="1"/>
  <c r="H82" i="1"/>
  <c r="I58" i="2" l="1"/>
  <c r="J58" i="2"/>
  <c r="G58" i="2"/>
  <c r="G56" i="2"/>
  <c r="G31" i="2"/>
  <c r="H78" i="1"/>
  <c r="G82" i="1"/>
  <c r="J78" i="1"/>
  <c r="I78" i="1"/>
  <c r="F78" i="1"/>
  <c r="H47" i="1" l="1"/>
  <c r="H97" i="2" s="1"/>
  <c r="H101" i="2" s="1"/>
  <c r="H56" i="1"/>
  <c r="I45" i="1" s="1"/>
  <c r="I95" i="2" s="1"/>
  <c r="I56" i="1" l="1"/>
  <c r="J45" i="1" s="1"/>
  <c r="J95" i="2" s="1"/>
  <c r="H17" i="8"/>
  <c r="I47" i="1"/>
  <c r="I97" i="2" s="1"/>
  <c r="I101" i="2" s="1"/>
  <c r="J47" i="1" l="1"/>
  <c r="J97" i="2" s="1"/>
  <c r="J101" i="2" s="1"/>
  <c r="J17" i="8" s="1"/>
  <c r="J56" i="1"/>
  <c r="H9" i="8"/>
  <c r="I17" i="8"/>
  <c r="J9" i="8" l="1"/>
  <c r="I9" i="8"/>
  <c r="G2" i="4" l="1"/>
  <c r="G3" i="4"/>
  <c r="C16" i="6"/>
  <c r="C17" i="6"/>
  <c r="C19" i="6"/>
  <c r="C33" i="6"/>
  <c r="C34" i="6"/>
  <c r="C35" i="6"/>
  <c r="C36" i="6"/>
  <c r="H41" i="6"/>
  <c r="C43" i="6"/>
  <c r="C44" i="6"/>
  <c r="F10" i="2"/>
  <c r="G10" i="2"/>
  <c r="H10" i="2"/>
  <c r="I10" i="2"/>
  <c r="J10" i="2"/>
  <c r="F14" i="2"/>
  <c r="G14" i="2"/>
  <c r="H14" i="2"/>
  <c r="I14" i="2"/>
  <c r="J14" i="2"/>
  <c r="E16" i="2"/>
  <c r="F16" i="2"/>
  <c r="G16" i="2"/>
  <c r="H16" i="2"/>
  <c r="I16" i="2"/>
  <c r="J16" i="2"/>
  <c r="M16" i="2"/>
  <c r="N16" i="2"/>
  <c r="E18" i="2"/>
  <c r="F18" i="2"/>
  <c r="G18" i="2"/>
  <c r="H18" i="2"/>
  <c r="I18" i="2"/>
  <c r="J18" i="2"/>
  <c r="M18" i="2"/>
  <c r="N18" i="2"/>
  <c r="F20" i="2"/>
  <c r="G20" i="2"/>
  <c r="H20" i="2"/>
  <c r="I20" i="2"/>
  <c r="J20" i="2"/>
  <c r="E23" i="2"/>
  <c r="F23" i="2"/>
  <c r="G23" i="2"/>
  <c r="H23" i="2"/>
  <c r="I23" i="2"/>
  <c r="J23" i="2"/>
  <c r="N23" i="2"/>
  <c r="E25" i="2"/>
  <c r="F25" i="2"/>
  <c r="G25" i="2"/>
  <c r="H25" i="2"/>
  <c r="I25" i="2"/>
  <c r="J25" i="2"/>
  <c r="M25" i="2"/>
  <c r="N25" i="2"/>
  <c r="E33" i="2"/>
  <c r="F33" i="2"/>
  <c r="G33" i="2"/>
  <c r="H33" i="2"/>
  <c r="I33" i="2"/>
  <c r="J33" i="2"/>
  <c r="M33" i="2"/>
  <c r="N33" i="2"/>
  <c r="F36" i="2"/>
  <c r="G36" i="2"/>
  <c r="H36" i="2"/>
  <c r="I36" i="2"/>
  <c r="J36" i="2"/>
  <c r="F37" i="2"/>
  <c r="G37" i="2"/>
  <c r="H37" i="2"/>
  <c r="I37" i="2"/>
  <c r="J37" i="2"/>
  <c r="F38" i="2"/>
  <c r="G38" i="2"/>
  <c r="H38" i="2"/>
  <c r="I38" i="2"/>
  <c r="J38" i="2"/>
  <c r="F39" i="2"/>
  <c r="G39" i="2"/>
  <c r="H39" i="2"/>
  <c r="I39" i="2"/>
  <c r="J39" i="2"/>
  <c r="F40" i="2"/>
  <c r="G40" i="2"/>
  <c r="H40" i="2"/>
  <c r="I40" i="2"/>
  <c r="J40" i="2"/>
  <c r="E41" i="2"/>
  <c r="F41" i="2"/>
  <c r="G41" i="2"/>
  <c r="H41" i="2"/>
  <c r="I41" i="2"/>
  <c r="J41" i="2"/>
  <c r="M41" i="2"/>
  <c r="N41" i="2"/>
  <c r="E43" i="2"/>
  <c r="F43" i="2"/>
  <c r="G43" i="2"/>
  <c r="H43" i="2"/>
  <c r="I43" i="2"/>
  <c r="J43" i="2"/>
  <c r="M43" i="2"/>
  <c r="N43" i="2"/>
  <c r="F46" i="2"/>
  <c r="G46" i="2"/>
  <c r="H46" i="2"/>
  <c r="I46" i="2"/>
  <c r="J46" i="2"/>
  <c r="E48" i="2"/>
  <c r="F48" i="2"/>
  <c r="G48" i="2"/>
  <c r="H48" i="2"/>
  <c r="I48" i="2"/>
  <c r="J48" i="2"/>
  <c r="N48" i="2"/>
  <c r="E49" i="2"/>
  <c r="F49" i="2"/>
  <c r="G49" i="2"/>
  <c r="H49" i="2"/>
  <c r="I49" i="2"/>
  <c r="J49" i="2"/>
  <c r="N49" i="2"/>
  <c r="F53" i="2"/>
  <c r="G53" i="2"/>
  <c r="H53" i="2"/>
  <c r="I53" i="2"/>
  <c r="J53" i="2"/>
  <c r="F54" i="2"/>
  <c r="G54" i="2"/>
  <c r="H54" i="2"/>
  <c r="I54" i="2"/>
  <c r="J54" i="2"/>
  <c r="G55" i="2"/>
  <c r="H55" i="2"/>
  <c r="I55" i="2"/>
  <c r="J55" i="2"/>
  <c r="F60" i="2"/>
  <c r="G60" i="2"/>
  <c r="H60" i="2"/>
  <c r="I60" i="2"/>
  <c r="J60" i="2"/>
  <c r="F61" i="2"/>
  <c r="G61" i="2"/>
  <c r="H61" i="2"/>
  <c r="I61" i="2"/>
  <c r="J61" i="2"/>
  <c r="F66" i="2"/>
  <c r="G66" i="2"/>
  <c r="H66" i="2"/>
  <c r="I66" i="2"/>
  <c r="J66" i="2"/>
  <c r="F68" i="2"/>
  <c r="G68" i="2"/>
  <c r="H68" i="2"/>
  <c r="I68" i="2"/>
  <c r="J68" i="2"/>
  <c r="F69" i="2"/>
  <c r="G69" i="2"/>
  <c r="H69" i="2"/>
  <c r="I69" i="2"/>
  <c r="J69" i="2"/>
  <c r="F70" i="2"/>
  <c r="G70" i="2"/>
  <c r="H70" i="2"/>
  <c r="I70" i="2"/>
  <c r="J70" i="2"/>
  <c r="F71" i="2"/>
  <c r="G71" i="2"/>
  <c r="H71" i="2"/>
  <c r="I71" i="2"/>
  <c r="J71" i="2"/>
  <c r="F72" i="2"/>
  <c r="G72" i="2"/>
  <c r="H72" i="2"/>
  <c r="I72" i="2"/>
  <c r="J72" i="2"/>
  <c r="G74" i="2"/>
  <c r="H74" i="2"/>
  <c r="I74" i="2"/>
  <c r="J74" i="2"/>
  <c r="F75" i="2"/>
  <c r="G75" i="2"/>
  <c r="H75" i="2"/>
  <c r="I75" i="2"/>
  <c r="J75" i="2"/>
  <c r="F77" i="2"/>
  <c r="G77" i="2"/>
  <c r="H77" i="2"/>
  <c r="I77" i="2"/>
  <c r="J77" i="2"/>
  <c r="G79" i="2"/>
  <c r="H79" i="2"/>
  <c r="I79" i="2"/>
  <c r="J79" i="2"/>
  <c r="F80" i="2"/>
  <c r="G80" i="2"/>
  <c r="H80" i="2"/>
  <c r="I80" i="2"/>
  <c r="J80" i="2"/>
  <c r="F104" i="2"/>
  <c r="G104" i="2"/>
  <c r="H104" i="2"/>
  <c r="I104" i="2"/>
  <c r="J104" i="2"/>
  <c r="F105" i="2"/>
  <c r="G105" i="2"/>
  <c r="H105" i="2"/>
  <c r="I105" i="2"/>
  <c r="J105" i="2"/>
  <c r="F107" i="2"/>
  <c r="G107" i="2"/>
  <c r="H107" i="2"/>
  <c r="I107" i="2"/>
  <c r="J107" i="2"/>
  <c r="F109" i="2"/>
  <c r="G109" i="2"/>
  <c r="H109" i="2"/>
  <c r="I109" i="2"/>
  <c r="J109" i="2"/>
  <c r="F111" i="2"/>
  <c r="G111" i="2"/>
  <c r="H111" i="2"/>
  <c r="I111" i="2"/>
  <c r="J111" i="2"/>
  <c r="F113" i="2"/>
  <c r="G113" i="2"/>
  <c r="H113" i="2"/>
  <c r="I113" i="2"/>
  <c r="J113" i="2"/>
  <c r="F115" i="2"/>
  <c r="G115" i="2"/>
  <c r="H115" i="2"/>
  <c r="I115" i="2"/>
  <c r="J115" i="2"/>
  <c r="F117" i="2"/>
  <c r="G117" i="2"/>
  <c r="H117" i="2"/>
  <c r="I117" i="2"/>
  <c r="J117" i="2"/>
  <c r="F10" i="8"/>
  <c r="G10" i="8"/>
  <c r="H10" i="8"/>
  <c r="I10" i="8"/>
  <c r="J10" i="8"/>
  <c r="F11" i="8"/>
  <c r="G11" i="8"/>
  <c r="H11" i="8"/>
  <c r="I11" i="8"/>
  <c r="J11" i="8"/>
  <c r="F12" i="8"/>
  <c r="G12" i="8"/>
  <c r="H12" i="8"/>
  <c r="I12" i="8"/>
  <c r="J12" i="8"/>
  <c r="F18" i="8"/>
  <c r="G18" i="8"/>
  <c r="H18" i="8"/>
  <c r="I18" i="8"/>
  <c r="J18" i="8"/>
  <c r="F19" i="8"/>
  <c r="G19" i="8"/>
  <c r="H19" i="8"/>
  <c r="I19" i="8"/>
  <c r="J19" i="8"/>
  <c r="F20" i="8"/>
  <c r="G20" i="8"/>
  <c r="H20" i="8"/>
  <c r="I20" i="8"/>
  <c r="J20" i="8"/>
  <c r="F24" i="8"/>
  <c r="G24" i="8"/>
  <c r="H24" i="8"/>
  <c r="I24" i="8"/>
  <c r="J24" i="8"/>
  <c r="F26" i="8"/>
  <c r="G26" i="8"/>
  <c r="H26" i="8"/>
  <c r="I26" i="8"/>
  <c r="J26" i="8"/>
  <c r="G27" i="8"/>
  <c r="H27" i="8"/>
  <c r="I27" i="8"/>
  <c r="J27" i="8"/>
  <c r="F28" i="8"/>
  <c r="G28" i="8"/>
  <c r="H28" i="8"/>
  <c r="I28" i="8"/>
  <c r="J28" i="8"/>
  <c r="G30" i="8"/>
  <c r="H30" i="8"/>
  <c r="I30" i="8"/>
  <c r="J30" i="8"/>
  <c r="F32" i="8"/>
  <c r="G32" i="8"/>
  <c r="H32" i="8"/>
  <c r="I32" i="8"/>
  <c r="J32" i="8"/>
  <c r="F33" i="8"/>
  <c r="G33" i="8"/>
  <c r="H33" i="8"/>
  <c r="I33" i="8"/>
  <c r="J33" i="8"/>
  <c r="M2" i="1"/>
  <c r="M3" i="1"/>
  <c r="C9" i="1"/>
  <c r="C10" i="1"/>
  <c r="C12" i="1"/>
  <c r="C13" i="1"/>
  <c r="C15" i="1"/>
  <c r="C16" i="1"/>
  <c r="F96" i="1"/>
  <c r="G96" i="1"/>
  <c r="H96" i="1"/>
  <c r="I96" i="1"/>
  <c r="J96" i="1"/>
  <c r="F97" i="1"/>
  <c r="G97" i="1"/>
  <c r="H97" i="1"/>
  <c r="I97" i="1"/>
  <c r="J97" i="1"/>
  <c r="F99" i="1"/>
  <c r="G99" i="1"/>
  <c r="H99" i="1"/>
  <c r="I99" i="1"/>
  <c r="J99" i="1"/>
  <c r="E101" i="1"/>
  <c r="F101" i="1"/>
  <c r="G101" i="1"/>
  <c r="H101" i="1"/>
  <c r="I101" i="1"/>
  <c r="J101" i="1"/>
  <c r="C108" i="1"/>
  <c r="C110" i="1"/>
  <c r="F116" i="1"/>
  <c r="G116" i="1"/>
  <c r="H116" i="1"/>
  <c r="I116" i="1"/>
  <c r="J116" i="1"/>
  <c r="F118" i="1"/>
  <c r="G118" i="1"/>
  <c r="H118" i="1"/>
  <c r="I118" i="1"/>
  <c r="J118" i="1"/>
  <c r="F119" i="1"/>
  <c r="G119" i="1"/>
  <c r="H119" i="1"/>
  <c r="I119" i="1"/>
  <c r="J119" i="1"/>
  <c r="E120" i="1"/>
  <c r="F120" i="1"/>
  <c r="G120" i="1"/>
  <c r="H120" i="1"/>
  <c r="I120" i="1"/>
  <c r="J120" i="1"/>
  <c r="F126" i="1"/>
  <c r="G126" i="1"/>
  <c r="H126" i="1"/>
  <c r="I126" i="1"/>
  <c r="J126" i="1"/>
  <c r="G127" i="1"/>
  <c r="H127" i="1"/>
  <c r="I127" i="1"/>
  <c r="J127" i="1"/>
  <c r="G129" i="1"/>
  <c r="H129" i="1"/>
  <c r="I129" i="1"/>
  <c r="J129" i="1"/>
  <c r="F130" i="1"/>
  <c r="G130" i="1"/>
  <c r="H130" i="1"/>
  <c r="I130" i="1"/>
  <c r="J130" i="1"/>
  <c r="G132" i="1"/>
  <c r="H132" i="1"/>
  <c r="I132" i="1"/>
  <c r="J132" i="1"/>
  <c r="F133" i="1"/>
  <c r="G133" i="1"/>
  <c r="H133" i="1"/>
  <c r="I133" i="1"/>
  <c r="J133" i="1"/>
  <c r="F134" i="1"/>
  <c r="G134" i="1"/>
  <c r="H134" i="1"/>
  <c r="I134" i="1"/>
  <c r="J134" i="1"/>
  <c r="F135" i="1"/>
  <c r="G135" i="1"/>
  <c r="H135" i="1"/>
  <c r="I135" i="1"/>
  <c r="J135" i="1"/>
  <c r="F138" i="1"/>
  <c r="G138" i="1"/>
  <c r="H138" i="1"/>
  <c r="I138" i="1"/>
  <c r="J138" i="1"/>
  <c r="F141" i="1"/>
  <c r="G141" i="1"/>
  <c r="H141" i="1"/>
  <c r="I141" i="1"/>
  <c r="J141" i="1"/>
  <c r="F143" i="1"/>
  <c r="G143" i="1"/>
  <c r="H143" i="1"/>
  <c r="I143" i="1"/>
  <c r="J143" i="1"/>
  <c r="F147" i="1"/>
  <c r="G147" i="1"/>
  <c r="H147" i="1"/>
  <c r="I147" i="1"/>
  <c r="J147" i="1"/>
  <c r="F148" i="1"/>
  <c r="G148" i="1"/>
  <c r="H148" i="1"/>
  <c r="I148" i="1"/>
  <c r="J148" i="1"/>
  <c r="G149" i="1"/>
  <c r="H149" i="1"/>
  <c r="I149" i="1"/>
  <c r="J149" i="1"/>
  <c r="F150" i="1"/>
  <c r="G150" i="1"/>
  <c r="H150" i="1"/>
  <c r="I150" i="1"/>
  <c r="J150" i="1"/>
  <c r="G152" i="1"/>
  <c r="H152" i="1"/>
  <c r="I152" i="1"/>
  <c r="J152" i="1"/>
  <c r="F154" i="1"/>
  <c r="G154" i="1"/>
  <c r="H154" i="1"/>
  <c r="I154" i="1"/>
  <c r="J154" i="1"/>
  <c r="F156" i="1"/>
  <c r="G156" i="1"/>
  <c r="H156" i="1"/>
  <c r="I156" i="1"/>
  <c r="J156" i="1"/>
  <c r="F159" i="1"/>
  <c r="G159" i="1"/>
  <c r="H159" i="1"/>
  <c r="I159" i="1"/>
  <c r="J159" i="1"/>
  <c r="F163" i="1"/>
  <c r="G163" i="1"/>
  <c r="H163" i="1"/>
  <c r="I163" i="1"/>
  <c r="J163" i="1"/>
  <c r="F164" i="1"/>
  <c r="G164" i="1"/>
  <c r="H164" i="1"/>
  <c r="I164" i="1"/>
  <c r="J164" i="1"/>
  <c r="F165" i="1"/>
  <c r="G165" i="1"/>
  <c r="H165" i="1"/>
  <c r="I165" i="1"/>
  <c r="J165" i="1"/>
  <c r="G167" i="1"/>
  <c r="H167" i="1"/>
  <c r="I167" i="1"/>
  <c r="J167" i="1"/>
  <c r="F168" i="1"/>
  <c r="G168" i="1"/>
  <c r="H168" i="1"/>
  <c r="I168" i="1"/>
  <c r="J168" i="1"/>
  <c r="F169" i="1"/>
  <c r="G169" i="1"/>
  <c r="H169" i="1"/>
  <c r="I169" i="1"/>
  <c r="J169" i="1"/>
  <c r="G170" i="1"/>
  <c r="H170" i="1"/>
  <c r="I170" i="1"/>
  <c r="J170" i="1"/>
  <c r="F171" i="1"/>
  <c r="G171" i="1"/>
  <c r="H171" i="1"/>
  <c r="I171" i="1"/>
  <c r="J171" i="1"/>
  <c r="F174" i="1"/>
  <c r="G174" i="1"/>
  <c r="H174" i="1"/>
  <c r="I174" i="1"/>
  <c r="J174" i="1"/>
  <c r="F178" i="1"/>
  <c r="G178" i="1"/>
  <c r="H178" i="1"/>
  <c r="I178" i="1"/>
  <c r="J178" i="1"/>
  <c r="F179" i="1"/>
  <c r="G179" i="1"/>
  <c r="H179" i="1"/>
  <c r="I179" i="1"/>
  <c r="J179" i="1"/>
  <c r="F180" i="1"/>
  <c r="G180" i="1"/>
  <c r="H180" i="1"/>
  <c r="I180" i="1"/>
  <c r="J180" i="1"/>
  <c r="G182" i="1"/>
  <c r="H182" i="1"/>
  <c r="I182" i="1"/>
  <c r="J182" i="1"/>
  <c r="F183" i="1"/>
  <c r="G183" i="1"/>
  <c r="H183" i="1"/>
  <c r="I183" i="1"/>
  <c r="J183" i="1"/>
  <c r="F184" i="1"/>
  <c r="G184" i="1"/>
  <c r="H184" i="1"/>
  <c r="I184" i="1"/>
  <c r="J184" i="1"/>
  <c r="F185" i="1"/>
  <c r="G185" i="1"/>
  <c r="H185" i="1"/>
  <c r="I185" i="1"/>
  <c r="J185" i="1"/>
  <c r="F188" i="1"/>
  <c r="G188" i="1"/>
  <c r="H188" i="1"/>
  <c r="I188" i="1"/>
  <c r="J188" i="1"/>
  <c r="F192" i="1"/>
  <c r="G192" i="1"/>
  <c r="H192" i="1"/>
  <c r="I192" i="1"/>
  <c r="J192" i="1"/>
  <c r="F193" i="1"/>
  <c r="G193" i="1"/>
  <c r="H193" i="1"/>
  <c r="I193" i="1"/>
  <c r="J193" i="1"/>
  <c r="F194" i="1"/>
  <c r="G194" i="1"/>
  <c r="H194" i="1"/>
  <c r="I194" i="1"/>
  <c r="J194" i="1"/>
  <c r="G196" i="1"/>
  <c r="H196" i="1"/>
  <c r="I196" i="1"/>
  <c r="J196" i="1"/>
  <c r="F197" i="1"/>
  <c r="G197" i="1"/>
  <c r="H197" i="1"/>
  <c r="I197" i="1"/>
  <c r="J197" i="1"/>
  <c r="G199" i="1"/>
  <c r="H199" i="1"/>
  <c r="I199" i="1"/>
  <c r="J199" i="1"/>
  <c r="F200" i="1"/>
  <c r="G200" i="1"/>
  <c r="H200" i="1"/>
  <c r="I200" i="1"/>
  <c r="J200" i="1"/>
  <c r="F203" i="1"/>
  <c r="G203" i="1"/>
  <c r="H203" i="1"/>
  <c r="I203" i="1"/>
  <c r="J203" i="1"/>
  <c r="G206" i="1"/>
  <c r="H206" i="1"/>
  <c r="I206" i="1"/>
  <c r="J206" i="1"/>
  <c r="F208" i="1"/>
  <c r="G208" i="1"/>
  <c r="H208" i="1"/>
  <c r="I208" i="1"/>
  <c r="J208" i="1"/>
  <c r="B6" i="7"/>
  <c r="F7" i="9"/>
  <c r="G7" i="9"/>
  <c r="H7" i="9"/>
  <c r="I7" i="9"/>
  <c r="J7" i="9"/>
  <c r="F13" i="9"/>
  <c r="G13" i="9"/>
  <c r="H13" i="9"/>
  <c r="I13" i="9"/>
  <c r="J13" i="9"/>
  <c r="F14" i="9"/>
  <c r="G14" i="9"/>
  <c r="H14" i="9"/>
  <c r="I14" i="9"/>
  <c r="J14" i="9"/>
  <c r="E18" i="9"/>
  <c r="F18" i="9"/>
  <c r="G18" i="9"/>
  <c r="H18" i="9"/>
  <c r="I18" i="9"/>
  <c r="J18" i="9"/>
  <c r="E19" i="9"/>
  <c r="F19" i="9"/>
  <c r="G19" i="9"/>
  <c r="H19" i="9"/>
  <c r="I19" i="9"/>
  <c r="J19" i="9"/>
  <c r="E21" i="9"/>
  <c r="F21" i="9"/>
  <c r="G21" i="9"/>
  <c r="H21" i="9"/>
  <c r="I21" i="9"/>
  <c r="J21" i="9"/>
  <c r="F22" i="9"/>
  <c r="G22" i="9"/>
  <c r="H22" i="9"/>
  <c r="I22" i="9"/>
  <c r="J22" i="9"/>
  <c r="E24" i="9"/>
  <c r="F24" i="9"/>
  <c r="G24" i="9"/>
  <c r="H24" i="9"/>
  <c r="I24" i="9"/>
  <c r="J24" i="9"/>
  <c r="E25" i="9"/>
  <c r="F25" i="9"/>
  <c r="G25" i="9"/>
  <c r="H25" i="9"/>
  <c r="I25" i="9"/>
  <c r="J25" i="9"/>
  <c r="F27" i="9"/>
  <c r="G27" i="9"/>
  <c r="H27" i="9"/>
  <c r="I27" i="9"/>
  <c r="J27" i="9"/>
  <c r="F36" i="9"/>
  <c r="G36" i="9"/>
  <c r="H36" i="9"/>
  <c r="I36" i="9"/>
  <c r="J36" i="9"/>
  <c r="F37" i="9"/>
  <c r="G37" i="9"/>
  <c r="H37" i="9"/>
  <c r="I37" i="9"/>
  <c r="J37" i="9"/>
  <c r="F39" i="9"/>
  <c r="G39" i="9"/>
  <c r="H39" i="9"/>
  <c r="I39" i="9"/>
  <c r="J39" i="9"/>
  <c r="F43" i="9"/>
  <c r="G43" i="9"/>
  <c r="H43" i="9"/>
  <c r="I43" i="9"/>
  <c r="J43" i="9"/>
  <c r="F45" i="9"/>
  <c r="G45" i="9"/>
  <c r="H45" i="9"/>
  <c r="I45" i="9"/>
  <c r="J45" i="9"/>
  <c r="F46" i="9"/>
  <c r="G46" i="9"/>
  <c r="H46" i="9"/>
  <c r="I46" i="9"/>
  <c r="J46" i="9"/>
  <c r="F47" i="9"/>
  <c r="G47" i="9"/>
  <c r="H47" i="9"/>
  <c r="I47" i="9"/>
  <c r="J47" i="9"/>
  <c r="F48" i="9"/>
  <c r="G48" i="9"/>
  <c r="H48" i="9"/>
  <c r="I48" i="9"/>
  <c r="J48" i="9"/>
  <c r="F50" i="9"/>
  <c r="G50" i="9"/>
  <c r="H50" i="9"/>
  <c r="I50" i="9"/>
  <c r="J50" i="9"/>
  <c r="F52" i="9"/>
  <c r="G52" i="9"/>
  <c r="H52" i="9"/>
  <c r="I52" i="9"/>
  <c r="J52" i="9"/>
  <c r="F56" i="9"/>
  <c r="G56" i="9"/>
  <c r="H56" i="9"/>
  <c r="I56" i="9"/>
  <c r="J56" i="9"/>
  <c r="F57" i="9"/>
  <c r="G57" i="9"/>
  <c r="H57" i="9"/>
  <c r="I57" i="9"/>
  <c r="J57" i="9"/>
  <c r="G59" i="9"/>
  <c r="H59" i="9"/>
  <c r="I59" i="9"/>
  <c r="J59" i="9"/>
  <c r="F60" i="9"/>
  <c r="G60" i="9"/>
  <c r="H60" i="9"/>
  <c r="I60" i="9"/>
  <c r="J60" i="9"/>
  <c r="F61" i="9"/>
  <c r="G61" i="9"/>
  <c r="H61" i="9"/>
  <c r="I61" i="9"/>
  <c r="J61" i="9"/>
  <c r="F62" i="9"/>
  <c r="G62" i="9"/>
  <c r="H62" i="9"/>
  <c r="I62" i="9"/>
  <c r="J62" i="9"/>
  <c r="F66" i="9"/>
  <c r="G66" i="9"/>
  <c r="H66" i="9"/>
  <c r="I66" i="9"/>
  <c r="J66" i="9"/>
  <c r="F67" i="9"/>
  <c r="G67" i="9"/>
  <c r="H67" i="9"/>
  <c r="I67" i="9"/>
  <c r="J67" i="9"/>
  <c r="F68" i="9"/>
  <c r="G68" i="9"/>
  <c r="H68" i="9"/>
  <c r="I68" i="9"/>
  <c r="J68" i="9"/>
  <c r="F69" i="9"/>
  <c r="G69" i="9"/>
  <c r="H69" i="9"/>
  <c r="I69" i="9"/>
  <c r="J69" i="9"/>
  <c r="F70" i="9"/>
  <c r="G70" i="9"/>
  <c r="H70" i="9"/>
  <c r="I70" i="9"/>
  <c r="J70" i="9"/>
  <c r="F71" i="9"/>
  <c r="G71" i="9"/>
  <c r="H71" i="9"/>
  <c r="I71" i="9"/>
  <c r="J71" i="9"/>
  <c r="G73" i="9"/>
  <c r="H73" i="9"/>
  <c r="I73" i="9"/>
  <c r="J73" i="9"/>
  <c r="F74" i="9"/>
  <c r="G74" i="9"/>
  <c r="H74" i="9"/>
  <c r="I74" i="9"/>
  <c r="J74" i="9"/>
  <c r="F75" i="9"/>
  <c r="G75" i="9"/>
  <c r="H75" i="9"/>
  <c r="I75" i="9"/>
  <c r="J75" i="9"/>
  <c r="F76" i="9"/>
  <c r="G76" i="9"/>
  <c r="H76" i="9"/>
  <c r="I76" i="9"/>
  <c r="J76" i="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1"/>
        </ext>
      </extLst>
    </bk>
    <bk>
      <extLst>
        <ext uri="{3e2802c4-a4d2-4d8b-9148-e3be6c30e623}">
          <xlrd:rvb i="4"/>
        </ext>
      </extLst>
    </bk>
    <bk>
      <extLst>
        <ext uri="{3e2802c4-a4d2-4d8b-9148-e3be6c30e623}">
          <xlrd:rvb i="7"/>
        </ext>
      </extLst>
    </bk>
    <bk>
      <extLst>
        <ext uri="{3e2802c4-a4d2-4d8b-9148-e3be6c30e623}">
          <xlrd:rvb i="14"/>
        </ext>
      </extLst>
    </bk>
    <bk>
      <extLst>
        <ext uri="{3e2802c4-a4d2-4d8b-9148-e3be6c30e623}">
          <xlrd:rvb i="17"/>
        </ext>
      </extLst>
    </bk>
    <bk>
      <extLst>
        <ext uri="{3e2802c4-a4d2-4d8b-9148-e3be6c30e623}">
          <xlrd:rvb i="23"/>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<sst xmlns="http://schemas.openxmlformats.org/spreadsheetml/2006/main" count="516" uniqueCount="387">
  <si>
    <t>$ millions</t>
  </si>
  <si>
    <t>Revenue</t>
  </si>
  <si>
    <t>Yes</t>
  </si>
  <si>
    <t>Sources and Uses</t>
  </si>
  <si>
    <t>Sources</t>
  </si>
  <si>
    <t>Sponsor equity</t>
  </si>
  <si>
    <t>Management rollover</t>
  </si>
  <si>
    <t>Mezz</t>
  </si>
  <si>
    <t>High yield</t>
  </si>
  <si>
    <t>TLB</t>
  </si>
  <si>
    <t>TLA</t>
  </si>
  <si>
    <t>Revolver</t>
  </si>
  <si>
    <t>Uses</t>
  </si>
  <si>
    <t>Refinance existing debt</t>
  </si>
  <si>
    <t>M&amp;A fee</t>
  </si>
  <si>
    <t>Financing fees</t>
  </si>
  <si>
    <t>Purchase price</t>
  </si>
  <si>
    <t>EBITDA</t>
  </si>
  <si>
    <t>Income Statement</t>
  </si>
  <si>
    <t>COGS</t>
  </si>
  <si>
    <t xml:space="preserve">SG&amp;A </t>
  </si>
  <si>
    <t>EBIT</t>
  </si>
  <si>
    <t>EBT</t>
  </si>
  <si>
    <t>Balance Sheet</t>
  </si>
  <si>
    <t>Assets</t>
  </si>
  <si>
    <t>Cash and equivalents</t>
  </si>
  <si>
    <t>Accounts receivable</t>
  </si>
  <si>
    <t>Adjustment</t>
  </si>
  <si>
    <t>Actual</t>
  </si>
  <si>
    <t>Adjusted</t>
  </si>
  <si>
    <t>2024A</t>
  </si>
  <si>
    <t>Inventories</t>
  </si>
  <si>
    <t>Prepaid expenses</t>
  </si>
  <si>
    <t>PP&amp;E</t>
  </si>
  <si>
    <t>Operating lease assets</t>
  </si>
  <si>
    <t>Goodwill</t>
  </si>
  <si>
    <t>Intangibles</t>
  </si>
  <si>
    <t>Deferred income taxes</t>
  </si>
  <si>
    <t>Other long-term assets</t>
  </si>
  <si>
    <t>Liabilities</t>
  </si>
  <si>
    <t>Excess Purchase Price Accounting</t>
  </si>
  <si>
    <t>Accrued expenses</t>
  </si>
  <si>
    <t>Accounts payable</t>
  </si>
  <si>
    <t>Operating lease liabilities</t>
  </si>
  <si>
    <t>Other long-term liabilities</t>
  </si>
  <si>
    <t>check</t>
  </si>
  <si>
    <t>Adjustments to assets</t>
  </si>
  <si>
    <t>Adjustments to liabilities &amp; SE</t>
  </si>
  <si>
    <t>Goodwill allocation</t>
  </si>
  <si>
    <t>PP&amp;E allocation</t>
  </si>
  <si>
    <t>Deferred tax liability</t>
  </si>
  <si>
    <t>Statement of Cash Flows</t>
  </si>
  <si>
    <t>Net income</t>
  </si>
  <si>
    <t>Cash flows from operations</t>
  </si>
  <si>
    <t>Depreciation and amortization</t>
  </si>
  <si>
    <t>PIK interest</t>
  </si>
  <si>
    <t>Changes in accounts payable</t>
  </si>
  <si>
    <t>Changes in accrued expenses</t>
  </si>
  <si>
    <t>Changes in inventories</t>
  </si>
  <si>
    <t>Changes in accounts receivable</t>
  </si>
  <si>
    <t>Capex</t>
  </si>
  <si>
    <t>Cash flows from investing</t>
  </si>
  <si>
    <t>Capex Schedule</t>
  </si>
  <si>
    <t>Borrowings (repayments) - revolver</t>
  </si>
  <si>
    <t>Borrowings (repayments) - TLA</t>
  </si>
  <si>
    <t>Borrowings (repayments) - TLB</t>
  </si>
  <si>
    <t>Borrowings (repayments) - high yield</t>
  </si>
  <si>
    <t>Borrowings (repayments) - mezz</t>
  </si>
  <si>
    <t>Mandatory amortization - TLA</t>
  </si>
  <si>
    <t>Mandatory amortization - TLB</t>
  </si>
  <si>
    <t>Cash flows from financing</t>
  </si>
  <si>
    <t>Change in cash</t>
  </si>
  <si>
    <t>Beginning cash</t>
  </si>
  <si>
    <t>Ending cash</t>
  </si>
  <si>
    <t>Net Working Capital Schedule</t>
  </si>
  <si>
    <t>Days</t>
  </si>
  <si>
    <t>Accrued expenses - % of revenue</t>
  </si>
  <si>
    <t>D&amp;A Schedule</t>
  </si>
  <si>
    <t>Total D&amp;A</t>
  </si>
  <si>
    <t>Useful life</t>
  </si>
  <si>
    <t>Incremental PP&amp;E</t>
  </si>
  <si>
    <t>Debt Schedule</t>
  </si>
  <si>
    <t>PP&amp;E Schedule</t>
  </si>
  <si>
    <t>PP&amp;E beginning</t>
  </si>
  <si>
    <t>+ Capex</t>
  </si>
  <si>
    <t>- Base D&amp;A</t>
  </si>
  <si>
    <t>- Incremental D&amp;A</t>
  </si>
  <si>
    <t>PP&amp;E ending</t>
  </si>
  <si>
    <t>Free cash flow</t>
  </si>
  <si>
    <t>Mandatory amortization</t>
  </si>
  <si>
    <t>Cash available for revolver</t>
  </si>
  <si>
    <t>Opening cash balance</t>
  </si>
  <si>
    <t>Minimum cash balance</t>
  </si>
  <si>
    <t>Ending cash balance</t>
  </si>
  <si>
    <t>Borrowings (repayments)</t>
  </si>
  <si>
    <t>Cash available for TLA</t>
  </si>
  <si>
    <t>Borrowings</t>
  </si>
  <si>
    <t>Repayments</t>
  </si>
  <si>
    <t>Ending balance</t>
  </si>
  <si>
    <t>Opening balance</t>
  </si>
  <si>
    <t>Cash interest rate</t>
  </si>
  <si>
    <t>Cash interest expense</t>
  </si>
  <si>
    <t>Revolver commitment</t>
  </si>
  <si>
    <t>Cash available for TLB</t>
  </si>
  <si>
    <t>Revolver commitment fee - %</t>
  </si>
  <si>
    <t>Revolver commitment fee - $</t>
  </si>
  <si>
    <t>Revolver unused commitment</t>
  </si>
  <si>
    <t>Cash available for high yield</t>
  </si>
  <si>
    <t>Cash available for mezz</t>
  </si>
  <si>
    <t>PIK accretion</t>
  </si>
  <si>
    <t>PIK accretion rate</t>
  </si>
  <si>
    <t>PIK accretion - $</t>
  </si>
  <si>
    <t>Total Debt Statistics</t>
  </si>
  <si>
    <t>Total Debt</t>
  </si>
  <si>
    <t>Total cash interest expense</t>
  </si>
  <si>
    <t>Total PIK interest expense</t>
  </si>
  <si>
    <t>Total interest expense</t>
  </si>
  <si>
    <t>Total mandatory amortization</t>
  </si>
  <si>
    <t>Debt / EBITDA</t>
  </si>
  <si>
    <t>Exit Waterfall</t>
  </si>
  <si>
    <t>- Debt</t>
  </si>
  <si>
    <t>+ Balance sheet cash</t>
  </si>
  <si>
    <t>+ Cash from option exercise</t>
  </si>
  <si>
    <t>Management options</t>
  </si>
  <si>
    <t>Total Shareholdings - %</t>
  </si>
  <si>
    <t>Sponsor equity - %</t>
  </si>
  <si>
    <t>Management rollover - %</t>
  </si>
  <si>
    <t>Management options - %</t>
  </si>
  <si>
    <t>IRR</t>
  </si>
  <si>
    <t>Year</t>
  </si>
  <si>
    <t>Sponsor IRR &amp; MoIC</t>
  </si>
  <si>
    <t>MoIC</t>
  </si>
  <si>
    <t>Most Recent 10k</t>
  </si>
  <si>
    <t>Food, beverage, and packaging</t>
  </si>
  <si>
    <t>Labor</t>
  </si>
  <si>
    <t>Occupancy</t>
  </si>
  <si>
    <t>Other operating expenses</t>
  </si>
  <si>
    <t>Restructuring expenses</t>
  </si>
  <si>
    <t>Revenue Growth Schedule</t>
  </si>
  <si>
    <t>5-year consumer inflation expectation assumed to hold for food inflation</t>
  </si>
  <si>
    <t>one-year ahead food inflation expectation 5.9%</t>
  </si>
  <si>
    <t>recent customer traffic "approximately flat"</t>
  </si>
  <si>
    <t>G&amp;A</t>
  </si>
  <si>
    <t>Operating Expenses Schedules</t>
  </si>
  <si>
    <t>SG&amp;A</t>
  </si>
  <si>
    <t>* assumption for operating cost components is that their prices inflate at the same rate at revenue, 5.9% in future Y1 and 3.0% thereafter</t>
  </si>
  <si>
    <t>expecting 0 net impairment after precedent</t>
  </si>
  <si>
    <t>CAVA states expectation of $1.3m in capex for each new restaurant opening</t>
  </si>
  <si>
    <t>High Yield</t>
  </si>
  <si>
    <t>Mezzanine</t>
  </si>
  <si>
    <t>Spread over SOFR</t>
  </si>
  <si>
    <t>* assuming fully amortizing by 2029</t>
  </si>
  <si>
    <t>SOFR RATE</t>
  </si>
  <si>
    <t>blue  = hardcodes ; black = formulas ; green = off-sheet references ; red = external links/sources ; purple = sensitivity analysis levers</t>
  </si>
  <si>
    <t>Spread over SOFR (bps)</t>
  </si>
  <si>
    <t>BofA High Yield Effective Yield Index</t>
  </si>
  <si>
    <t>BofA High Yield Index Effective Yield - B</t>
  </si>
  <si>
    <t>* assuming TLA spread = TLB spread</t>
  </si>
  <si>
    <t>choosing a midpoint in the typical 0.25-1.0%</t>
  </si>
  <si>
    <t>reference shows 925-bp OAS spread for mezz debt - BB</t>
  </si>
  <si>
    <t>Debt Assumptions</t>
  </si>
  <si>
    <t>Tranch</t>
  </si>
  <si>
    <t>x Revenue</t>
  </si>
  <si>
    <t xml:space="preserve"> % Amort.</t>
  </si>
  <si>
    <t>% Cash Int.</t>
  </si>
  <si>
    <t>% PIK Int.</t>
  </si>
  <si>
    <t>$ Value</t>
  </si>
  <si>
    <t>% Com. Fee</t>
  </si>
  <si>
    <t>Max Draw</t>
  </si>
  <si>
    <t>Commitment</t>
  </si>
  <si>
    <t>Lockup Per.</t>
  </si>
  <si>
    <t>% Fin. Fee</t>
  </si>
  <si>
    <t>Prin. Repay.</t>
  </si>
  <si>
    <t>- Cash</t>
  </si>
  <si>
    <t>Purchase Premium Above Market</t>
  </si>
  <si>
    <t>management guides 6-8% same-store sales growth in 2025</t>
  </si>
  <si>
    <t>* does not break down G&amp;A, but I expect economies of scale will increase G&amp;A at half the rate of revenue</t>
  </si>
  <si>
    <t>SG&amp;A:</t>
  </si>
  <si>
    <t>COGS:</t>
  </si>
  <si>
    <t>D&amp;A:</t>
  </si>
  <si>
    <t xml:space="preserve"> </t>
  </si>
  <si>
    <t>mcap</t>
  </si>
  <si>
    <t>Cash</t>
  </si>
  <si>
    <t>EV</t>
  </si>
  <si>
    <t>EV / Rev</t>
  </si>
  <si>
    <t>CMG 10K</t>
  </si>
  <si>
    <t>YUM 10K</t>
  </si>
  <si>
    <t>SHAK 10K</t>
  </si>
  <si>
    <t>SBUX 10K</t>
  </si>
  <si>
    <t>Preferred/MI</t>
  </si>
  <si>
    <t>MCD 10K</t>
  </si>
  <si>
    <t>management quotes 1000 restaurants by 2032, I assume a flat rate of openings till then</t>
  </si>
  <si>
    <t>revolver line of credit from 2022 holds 150-250 bps over SOFR</t>
  </si>
  <si>
    <t xml:space="preserve">New PP&amp;E DTL </t>
  </si>
  <si>
    <t>Tax Schedule</t>
  </si>
  <si>
    <t>Other</t>
  </si>
  <si>
    <t>Unwind (yrs)</t>
  </si>
  <si>
    <t>Item</t>
  </si>
  <si>
    <t>Op. Leases</t>
  </si>
  <si>
    <t>Equity Comp</t>
  </si>
  <si>
    <t>Federal</t>
  </si>
  <si>
    <t>State</t>
  </si>
  <si>
    <t>Stat. Rate</t>
  </si>
  <si>
    <t>Total Stat.</t>
  </si>
  <si>
    <t>General Assumptions</t>
  </si>
  <si>
    <t>Purchase Accounting Assumptions</t>
  </si>
  <si>
    <t>Company Comp</t>
  </si>
  <si>
    <t>great comp</t>
  </si>
  <si>
    <t>2022A</t>
  </si>
  <si>
    <t>2023A</t>
  </si>
  <si>
    <t>2025E</t>
  </si>
  <si>
    <t>2026E</t>
  </si>
  <si>
    <t>2027E</t>
  </si>
  <si>
    <t>2028E</t>
  </si>
  <si>
    <t>2029E</t>
  </si>
  <si>
    <t>Deferred Tax Assets &amp; Liabilities Schedule</t>
  </si>
  <si>
    <t>Income Statement Statistics</t>
  </si>
  <si>
    <t>Margins</t>
  </si>
  <si>
    <t>COMP Y/N</t>
  </si>
  <si>
    <t>Y</t>
  </si>
  <si>
    <t>N</t>
  </si>
  <si>
    <t>Why</t>
  </si>
  <si>
    <t>franchised</t>
  </si>
  <si>
    <t>slow growth</t>
  </si>
  <si>
    <t>Lease Liab.</t>
  </si>
  <si>
    <t>franchised international</t>
  </si>
  <si>
    <t>EV / Revenue Exit Multiple</t>
  </si>
  <si>
    <t>* assuming that ATI ≈ EBIT for business interest deduction calculation</t>
  </si>
  <si>
    <t>Effect to NOL</t>
  </si>
  <si>
    <t>NOL Schedule</t>
  </si>
  <si>
    <t>Interest Carryforward Schedule</t>
  </si>
  <si>
    <t>* assuming straight-line depreciation for tax purposes</t>
  </si>
  <si>
    <t>Applicable NOLs</t>
  </si>
  <si>
    <t>Noncash deferred tax benefit</t>
  </si>
  <si>
    <t>Annual DTL unwind</t>
  </si>
  <si>
    <t>Total number of locations</t>
  </si>
  <si>
    <t>Number of new locations (∆loc)</t>
  </si>
  <si>
    <t>Growth in # of stores - %</t>
  </si>
  <si>
    <t>Same store volume growth</t>
  </si>
  <si>
    <t>Excess purchase price</t>
  </si>
  <si>
    <t>PMO growth</t>
  </si>
  <si>
    <t>Same store sales growth - %</t>
  </si>
  <si>
    <t>Same store sales - $thousands</t>
  </si>
  <si>
    <t>Number of stores</t>
  </si>
  <si>
    <t>Number of net new locations</t>
  </si>
  <si>
    <t>Pre-opening costs</t>
  </si>
  <si>
    <t>Impairment and asset disposal</t>
  </si>
  <si>
    <t>Food &amp; beverage - % of revenue</t>
  </si>
  <si>
    <t>Labor - % of stores</t>
  </si>
  <si>
    <t>Occupancy - % of stores</t>
  </si>
  <si>
    <t>Other operating expense - % of revenue</t>
  </si>
  <si>
    <t>G&amp;A - % of revenue</t>
  </si>
  <si>
    <t>Restructuring expenses - % of new stores</t>
  </si>
  <si>
    <t>Pre-opening costs - % of new stores</t>
  </si>
  <si>
    <t>Impairment and asset disposal - % of revenue</t>
  </si>
  <si>
    <t>Expected capex from each new restaurant (m)</t>
  </si>
  <si>
    <t>Number of new restaurants</t>
  </si>
  <si>
    <t>Expected capex from openings</t>
  </si>
  <si>
    <t>Remaining capex</t>
  </si>
  <si>
    <t>Capex per existing store</t>
  </si>
  <si>
    <t>Total capex</t>
  </si>
  <si>
    <t>Current changeable assets</t>
  </si>
  <si>
    <t>Current changeable liabilities</t>
  </si>
  <si>
    <t>Days receivables outstanding</t>
  </si>
  <si>
    <t>Days inventory outstanding</t>
  </si>
  <si>
    <t>Days payable outstanding</t>
  </si>
  <si>
    <t>D&amp;A - base PP&amp;E</t>
  </si>
  <si>
    <t>D&amp;A - incremental PP&amp;E</t>
  </si>
  <si>
    <t>D&amp;A - base PP&amp;E - % of PP&amp;E</t>
  </si>
  <si>
    <t>D&amp;A - financing fees</t>
  </si>
  <si>
    <t>Total non-current liabilities</t>
  </si>
  <si>
    <t>Total liabilities</t>
  </si>
  <si>
    <t>Preferred stock</t>
  </si>
  <si>
    <t>Shareholder's equity</t>
  </si>
  <si>
    <t>Liabilites &amp; shareholder's equity</t>
  </si>
  <si>
    <t>Total current liabilities</t>
  </si>
  <si>
    <t>Total assets</t>
  </si>
  <si>
    <t>Total non-current assets</t>
  </si>
  <si>
    <t>Total current assets</t>
  </si>
  <si>
    <t>Interest (expense) income</t>
  </si>
  <si>
    <t>Income tax (expense) benefit</t>
  </si>
  <si>
    <t>Impairment and asset disposal costs</t>
  </si>
  <si>
    <t>Gross income</t>
  </si>
  <si>
    <t>Total sources</t>
  </si>
  <si>
    <t>Total uses</t>
  </si>
  <si>
    <t>Amount of equity required</t>
  </si>
  <si>
    <t>Previous close stock price</t>
  </si>
  <si>
    <t>Current shares outstanding (m)</t>
  </si>
  <si>
    <t>Purchase premium above market</t>
  </si>
  <si>
    <t>Entry multiple (EV / revenue)</t>
  </si>
  <si>
    <t>2024A revenue</t>
  </si>
  <si>
    <t>Enterprise value</t>
  </si>
  <si>
    <t>Minimum cash</t>
  </si>
  <si>
    <t>M&amp;A fee - % of purchase price</t>
  </si>
  <si>
    <t>M&amp;A fee - $</t>
  </si>
  <si>
    <t>Tax rate</t>
  </si>
  <si>
    <t>Sponsor ownership</t>
  </si>
  <si>
    <t>Term loan A</t>
  </si>
  <si>
    <t>Term loan B</t>
  </si>
  <si>
    <t>Financing fee - useful life</t>
  </si>
  <si>
    <t>Interest as % of average balance</t>
  </si>
  <si>
    <t>Excess allocated to goodwill</t>
  </si>
  <si>
    <t>Excess allocated to PP&amp;E</t>
  </si>
  <si>
    <t>Life of incremental PP&amp;E</t>
  </si>
  <si>
    <t>Interest rate</t>
  </si>
  <si>
    <t>Commitment fee</t>
  </si>
  <si>
    <t>Beginning principal</t>
  </si>
  <si>
    <t>Amortization length (yrs)</t>
  </si>
  <si>
    <t>Annual principle repayment</t>
  </si>
  <si>
    <t>Spread over term loan</t>
  </si>
  <si>
    <t>PIK interest rate</t>
  </si>
  <si>
    <t>Interest rate ( -PIK )</t>
  </si>
  <si>
    <t>Total interest rate</t>
  </si>
  <si>
    <t>Net operating loss</t>
  </si>
  <si>
    <t>Equity-based compensation</t>
  </si>
  <si>
    <t>Valuation allowance</t>
  </si>
  <si>
    <t>Interest carryfoward</t>
  </si>
  <si>
    <t>Deferred tax asset, net</t>
  </si>
  <si>
    <t>Deferred tax liability, net</t>
  </si>
  <si>
    <t>Total net deferred tax assets (liabilities)</t>
  </si>
  <si>
    <t>∆ Total net DTA (DTL)</t>
  </si>
  <si>
    <t>Balance sheet deferred tax assets</t>
  </si>
  <si>
    <t>Balance sheet deferred tax liabilities</t>
  </si>
  <si>
    <t>New PP&amp;E DTL unwind</t>
  </si>
  <si>
    <t>Old PP&amp;E unwind</t>
  </si>
  <si>
    <t>Operating lease liabilities unwind</t>
  </si>
  <si>
    <t>Operating lease assets unwind</t>
  </si>
  <si>
    <t>Equity based comp</t>
  </si>
  <si>
    <t>Income tax expense (benefit) at statutory rate</t>
  </si>
  <si>
    <t>State income tax expense (benefit)</t>
  </si>
  <si>
    <t>(Decrease) increase in valuation allowance</t>
  </si>
  <si>
    <t>Deferred taxes</t>
  </si>
  <si>
    <t>Equity based compensation</t>
  </si>
  <si>
    <t>Nondeductible executive compensation</t>
  </si>
  <si>
    <t>Permanent adjustments</t>
  </si>
  <si>
    <t>(Benefit from) provision for income taxes</t>
  </si>
  <si>
    <t>Earnings before tax (EBT)</t>
  </si>
  <si>
    <t>Taxable income (w/ net DTA/DTL unwind)</t>
  </si>
  <si>
    <t>Taxable income after NOL</t>
  </si>
  <si>
    <t>Current tax (expense) benefit</t>
  </si>
  <si>
    <t>Alternative minimum tax (if AFSI &gt; 0)</t>
  </si>
  <si>
    <t>Total statutory tax expense (benefit)</t>
  </si>
  <si>
    <t>Beginning NOL credit</t>
  </si>
  <si>
    <t>NOL increase</t>
  </si>
  <si>
    <t>NOL decrease</t>
  </si>
  <si>
    <t>Ending NOL credit</t>
  </si>
  <si>
    <t>Earnings before interest &amp; tax (EBIT)</t>
  </si>
  <si>
    <t>Gross interest</t>
  </si>
  <si>
    <t>Business interest deduction limit</t>
  </si>
  <si>
    <t>Interest deduction for tax</t>
  </si>
  <si>
    <t>Interest carryforward created</t>
  </si>
  <si>
    <t>Tax benefit (Expense) of interest carryforward</t>
  </si>
  <si>
    <t>Beginning interest carryforward credit</t>
  </si>
  <si>
    <t>IC increase</t>
  </si>
  <si>
    <t>IC decrease</t>
  </si>
  <si>
    <t>Ending interest carryforward credit</t>
  </si>
  <si>
    <t>* assuming NOLs generated post 2017 (TCJA)</t>
  </si>
  <si>
    <t>2029 revenue</t>
  </si>
  <si>
    <t>Exit multiple (EV / Rev)</t>
  </si>
  <si>
    <t>Equity value</t>
  </si>
  <si>
    <t>Total shareholdings</t>
  </si>
  <si>
    <t>Exit proceeds</t>
  </si>
  <si>
    <t>Total shareholder proceeds</t>
  </si>
  <si>
    <t>Cash flow to sponsor</t>
  </si>
  <si>
    <t>Revenue growth</t>
  </si>
  <si>
    <t>COGS - % of revenue</t>
  </si>
  <si>
    <t>SG&amp;A - % of revenue</t>
  </si>
  <si>
    <t>D&amp;A - % of revenue</t>
  </si>
  <si>
    <t>Interest - % of revenue</t>
  </si>
  <si>
    <t>Effective tax rate</t>
  </si>
  <si>
    <t>Gross margin</t>
  </si>
  <si>
    <t>EBITDA margin</t>
  </si>
  <si>
    <t>EBIT margin</t>
  </si>
  <si>
    <t>EBT margin</t>
  </si>
  <si>
    <t>Profit margin</t>
  </si>
  <si>
    <t>Total debt</t>
  </si>
  <si>
    <t>Debt / equity</t>
  </si>
  <si>
    <t>PMO Growth Rate</t>
  </si>
  <si>
    <t>Same Store Growth Rate</t>
  </si>
  <si>
    <t>Holding period (yrs)</t>
  </si>
  <si>
    <t>SOFR Rate</t>
  </si>
  <si>
    <t>Total Statutory Tax Rate</t>
  </si>
  <si>
    <t>* using accural accounting for NOL generation, reconciled with DTA generation</t>
  </si>
  <si>
    <t>PMO Growth</t>
  </si>
  <si>
    <t>$ millions except for share-related numbers</t>
  </si>
  <si>
    <t>CAVA Group, Inc.</t>
  </si>
  <si>
    <t>Exit Multiple Derivation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</si>
</sst>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General\A"/>
    <numFmt numFmtId="165" formatCode="General\E"/>
    <numFmt numFmtId="166" formatCode="General\x"/>
    <numFmt numFmtId="167" formatCode="0.0%"/>
    <numFmt numFmtId="168" formatCode="0.0\x"/>
    <numFmt numFmtId="169" formatCode="_([$$-409]* #,##0.00_);_([$$-409]* \(#,##0.00\);_([$$-409]* &quot;-&quot;??_);_(@_)"/>
    <numFmt numFmtId="170" formatCode="_(* #,##0.0_);_(* \(#,##0.0\);_(* &quot;-&quot;_);_(@_)"/>
    <numFmt numFmtId="171" formatCode="_(* #,##0.00_);_(* \(#,##0.00\);_(* &quot;-&quot;_);_(@_)"/>
    <numFmt numFmtId="172" formatCode="0.000"/>
  </numFmts>
  <fonts count="32" x14ac:knownFonts="1">
    <font>
      <sz val="12"/>
      <color theme="1"/>
      <name val="Aptos Narrow"/>
      <family val="2"/>
      <scheme val="minor"/>
    </font>
    <font>
      <sz val="12"/>
      <color theme="1"/>
      <name val="Aptos Narrow"/>
      <family val="2"/>
      <scheme val="minor"/>
    </font>
    <font>
      <sz val="12"/>
      <color theme="0"/>
      <name val="Aptos Narrow"/>
      <family val="2"/>
      <scheme val="minor"/>
    </font>
    <font>
      <b/>
      <sz val="12"/>
      <color theme="1"/>
      <name val="Aptos Narrow"/>
      <scheme val="minor"/>
    </font>
    <font>
      <i/>
      <sz val="12"/>
      <color theme="1"/>
      <name val="Aptos Narrow"/>
      <scheme val="minor"/>
    </font>
    <font>
      <sz val="12"/>
      <color theme="1"/>
      <name val="Cambria Math"/>
      <family val="1"/>
    </font>
    <font>
      <b/>
      <sz val="12"/>
      <color theme="1"/>
      <name val="Cambria Math"/>
      <family val="1"/>
    </font>
    <font>
      <sz val="12"/>
      <color theme="1"/>
      <name val="Aptos Narrow"/>
      <scheme val="minor"/>
    </font>
    <font>
      <b/>
      <u/>
      <sz val="12"/>
      <color theme="1"/>
      <name val="Aptos Narrow"/>
      <scheme val="minor"/>
    </font>
    <font>
      <sz val="12"/>
      <color rgb="FF000000"/>
      <name val="Aptos Narrow"/>
      <family val="2"/>
      <scheme val="minor"/>
    </font>
    <font>
      <u/>
      <sz val="12"/>
      <color theme="10"/>
      <name val="Aptos Narrow"/>
      <family val="2"/>
      <scheme val="minor"/>
    </font>
    <font>
      <sz val="12"/>
      <color theme="3" tint="0.249977111117893"/>
      <name val="Cambria Math"/>
      <family val="1"/>
    </font>
    <font>
      <b/>
      <sz val="12"/>
      <color theme="3" tint="0.249977111117893"/>
      <name val="Aptos Narrow"/>
      <scheme val="minor"/>
    </font>
    <font>
      <sz val="12"/>
      <color theme="3" tint="0.249977111117893"/>
      <name val="Aptos Narrow"/>
      <scheme val="minor"/>
    </font>
    <font>
      <sz val="12"/>
      <color theme="3" tint="0.249977111117893"/>
      <name val="Aptos Narrow"/>
      <family val="2"/>
      <scheme val="minor"/>
    </font>
    <font>
      <u/>
      <sz val="12"/>
      <color rgb="FFC00000"/>
      <name val="Aptos Narrow"/>
      <family val="2"/>
      <scheme val="minor"/>
    </font>
    <font>
      <sz val="12"/>
      <color rgb="FFC00000"/>
      <name val="Cambria Math"/>
      <family val="1"/>
    </font>
    <font>
      <sz val="12"/>
      <color theme="6"/>
      <name val="Aptos Narrow"/>
      <family val="2"/>
      <scheme val="minor"/>
    </font>
    <font>
      <b/>
      <sz val="12"/>
      <color theme="6"/>
      <name val="Aptos Narrow"/>
      <scheme val="minor"/>
    </font>
    <font>
      <sz val="12"/>
      <color theme="6"/>
      <name val="Aptos Narrow"/>
      <scheme val="minor"/>
    </font>
    <font>
      <sz val="12"/>
      <color theme="6"/>
      <name val="Cambria Math"/>
      <family val="1"/>
    </font>
    <font>
      <b/>
      <sz val="12"/>
      <color theme="1"/>
      <name val="Aptos Narrow"/>
      <family val="2"/>
      <scheme val="minor"/>
    </font>
    <font>
      <sz val="12"/>
      <color rgb="FFC00000"/>
      <name val="Aptos Narrow"/>
      <family val="2"/>
      <scheme val="minor"/>
    </font>
    <font>
      <sz val="12"/>
      <color theme="3" tint="9.9978637043366805E-2"/>
      <name val="Aptos Narrow"/>
      <family val="2"/>
      <scheme val="minor"/>
    </font>
    <font>
      <sz val="12"/>
      <color rgb="FF000000"/>
      <name val="Aptos Narrow"/>
      <scheme val="minor"/>
    </font>
    <font>
      <b/>
      <sz val="12"/>
      <color rgb="FF000000"/>
      <name val="Aptos Narrow"/>
      <scheme val="minor"/>
    </font>
    <font>
      <i/>
      <sz val="12"/>
      <color rgb="FF000000"/>
      <name val="Aptos Narrow"/>
      <scheme val="minor"/>
    </font>
    <font>
      <sz val="12"/>
      <color rgb="FF215C98"/>
      <name val="Aptos Narrow"/>
      <family val="2"/>
      <scheme val="minor"/>
    </font>
    <font>
      <sz val="12"/>
      <color rgb="FF7030A0"/>
      <name val="Aptos Narrow"/>
      <family val="2"/>
      <scheme val="minor"/>
    </font>
    <font>
      <sz val="12"/>
      <color rgb="FF7030A0"/>
      <name val="Cambria Math"/>
      <family val="1"/>
    </font>
    <font>
      <sz val="12"/>
      <color rgb="FF7030A0"/>
      <name val="Aptos Narrow"/>
      <scheme val="minor"/>
    </font>
    <font>
      <i/>
      <sz val="12"/>
      <color theme="1"/>
      <name val="Cambria Math"/>
      <family val="1"/>
    </font>
  </fonts>
  <fills count="3">
    <fill>
      <patternFill patternType="none"/>
    </fill>
    <fill>
      <patternFill patternType="gray125"/>
    </fill>
    <fill>
      <patternFill patternType="solid">
        <fgColor theme="2"/>
        <bgColor indexed="64"/>
      </patternFill>
    </fill>
  </fills>
  <borders count="15">
    <border>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10" fillId="0" borderId="0" applyNumberFormat="0" applyFill="0" applyBorder="0" applyAlignment="0" applyProtection="0"/>
  </cellStyleXfs>
  <cellXfs count="195">
    <xf numFmtId="0" fontId="0" fillId="0" borderId="0" xfId="0"/>
    <xf numFmtId="0" fontId="3" fillId="0" borderId="0" xfId="0" applyFont="1"/>
    <xf numFmtId="0" fontId="4" fillId="0" borderId="0" xfId="0" applyFont="1"/>
    <xf numFmtId="165" fontId="0" fillId="0" borderId="0" xfId="0" applyNumberFormat="1"/>
    <xf numFmtId="0" fontId="0" fillId="2" borderId="0" xfId="0" applyFill="1"/>
    <xf numFmtId="0" fontId="3" fillId="2" borderId="0" xfId="0" applyFont="1" applyFill="1"/>
    <xf numFmtId="0" fontId="5" fillId="0" borderId="0" xfId="0" applyFont="1"/>
    <xf numFmtId="41" fontId="6" fillId="0" borderId="0" xfId="0" applyNumberFormat="1" applyFont="1"/>
    <xf numFmtId="41" fontId="5" fillId="0" borderId="0" xfId="0" applyNumberFormat="1" applyFont="1"/>
    <xf numFmtId="167" fontId="5" fillId="0" borderId="0" xfId="0" applyNumberFormat="1" applyFont="1"/>
    <xf numFmtId="41" fontId="5" fillId="0" borderId="0" xfId="0" applyNumberFormat="1" applyFont="1" applyAlignment="1">
      <alignment horizontal="right"/>
    </xf>
    <xf numFmtId="0" fontId="3" fillId="0" borderId="1" xfId="0" applyFont="1" applyBorder="1"/>
    <xf numFmtId="0" fontId="0" fillId="0" borderId="1" xfId="0" applyBorder="1"/>
    <xf numFmtId="0" fontId="7" fillId="0" borderId="0" xfId="0" applyFont="1"/>
    <xf numFmtId="41" fontId="0" fillId="0" borderId="0" xfId="0" applyNumberFormat="1"/>
    <xf numFmtId="41" fontId="3" fillId="0" borderId="1" xfId="0" applyNumberFormat="1" applyFont="1" applyBorder="1"/>
    <xf numFmtId="0" fontId="4" fillId="0" borderId="0" xfId="0" applyFont="1" applyAlignment="1">
      <alignment horizontal="left" indent="1"/>
    </xf>
    <xf numFmtId="167" fontId="0" fillId="0" borderId="0" xfId="0" applyNumberFormat="1"/>
    <xf numFmtId="41" fontId="3" fillId="0" borderId="0" xfId="0" applyNumberFormat="1" applyFont="1"/>
    <xf numFmtId="0" fontId="7" fillId="0" borderId="0" xfId="0" applyFont="1" applyAlignment="1">
      <alignment horizontal="left" indent="1"/>
    </xf>
    <xf numFmtId="0" fontId="8" fillId="0" borderId="0" xfId="0" applyFont="1"/>
    <xf numFmtId="0" fontId="0" fillId="0" borderId="0" xfId="0" applyAlignment="1">
      <alignment horizontal="center"/>
    </xf>
    <xf numFmtId="0" fontId="0" fillId="0" borderId="1" xfId="0" applyBorder="1" applyAlignment="1">
      <alignment horizontal="center"/>
    </xf>
    <xf numFmtId="41" fontId="0" fillId="0" borderId="1" xfId="0" applyNumberFormat="1" applyBorder="1"/>
    <xf numFmtId="0" fontId="0" fillId="0" borderId="0" xfId="0" applyAlignment="1">
      <alignment horizontal="left" indent="1"/>
    </xf>
    <xf numFmtId="0" fontId="3" fillId="0" borderId="0" xfId="0" applyFont="1" applyAlignment="1">
      <alignment horizontal="left"/>
    </xf>
    <xf numFmtId="167" fontId="4" fillId="2" borderId="0" xfId="0" applyNumberFormat="1" applyFont="1" applyFill="1"/>
    <xf numFmtId="0" fontId="3" fillId="2" borderId="0" xfId="0" applyFont="1" applyFill="1" applyAlignment="1">
      <alignment horizontal="left" indent="1"/>
    </xf>
    <xf numFmtId="167" fontId="7" fillId="0" borderId="0" xfId="0" applyNumberFormat="1" applyFont="1"/>
    <xf numFmtId="0" fontId="3" fillId="0" borderId="0" xfId="0" applyFont="1" applyAlignment="1">
      <alignment horizontal="left" indent="1"/>
    </xf>
    <xf numFmtId="0" fontId="3" fillId="0" borderId="1" xfId="0" applyFont="1" applyBorder="1" applyAlignment="1">
      <alignment horizontal="left"/>
    </xf>
    <xf numFmtId="9" fontId="0" fillId="0" borderId="0" xfId="1" applyFont="1"/>
    <xf numFmtId="9" fontId="0" fillId="0" borderId="0" xfId="0" applyNumberFormat="1"/>
    <xf numFmtId="41" fontId="7" fillId="0" borderId="0" xfId="0" applyNumberFormat="1" applyFont="1"/>
    <xf numFmtId="41" fontId="0" fillId="2" borderId="0" xfId="0" applyNumberFormat="1" applyFill="1"/>
    <xf numFmtId="41" fontId="3" fillId="2" borderId="0" xfId="0" applyNumberFormat="1" applyFont="1" applyFill="1"/>
    <xf numFmtId="0" fontId="7" fillId="0" borderId="0" xfId="0" quotePrefix="1" applyFont="1" applyAlignment="1">
      <alignment horizontal="left" indent="1"/>
    </xf>
    <xf numFmtId="41" fontId="9" fillId="0" borderId="0" xfId="0" applyNumberFormat="1" applyFont="1"/>
    <xf numFmtId="0" fontId="0" fillId="0" borderId="0" xfId="0" applyAlignment="1">
      <alignment horizontal="left"/>
    </xf>
    <xf numFmtId="168" fontId="5" fillId="0" borderId="0" xfId="0" applyNumberFormat="1" applyFont="1"/>
    <xf numFmtId="167" fontId="0" fillId="0" borderId="0" xfId="1" applyNumberFormat="1" applyFont="1"/>
    <xf numFmtId="167" fontId="3" fillId="0" borderId="1" xfId="1" applyNumberFormat="1" applyFont="1" applyBorder="1"/>
    <xf numFmtId="0" fontId="8" fillId="0" borderId="0" xfId="0" applyFont="1" applyAlignment="1">
      <alignment horizontal="left"/>
    </xf>
    <xf numFmtId="168" fontId="0" fillId="0" borderId="0" xfId="0" applyNumberFormat="1"/>
    <xf numFmtId="168" fontId="3" fillId="0" borderId="0" xfId="0" applyNumberFormat="1" applyFont="1"/>
    <xf numFmtId="167" fontId="3" fillId="0" borderId="0" xfId="0" applyNumberFormat="1" applyFont="1"/>
    <xf numFmtId="41" fontId="11" fillId="0" borderId="0" xfId="0" applyNumberFormat="1" applyFont="1"/>
    <xf numFmtId="167" fontId="11" fillId="0" borderId="0" xfId="1" applyNumberFormat="1" applyFont="1"/>
    <xf numFmtId="167" fontId="11" fillId="0" borderId="0" xfId="0" applyNumberFormat="1" applyFont="1"/>
    <xf numFmtId="166" fontId="11" fillId="0" borderId="0" xfId="0" applyNumberFormat="1" applyFont="1"/>
    <xf numFmtId="41" fontId="12" fillId="0" borderId="0" xfId="0" applyNumberFormat="1" applyFont="1"/>
    <xf numFmtId="41" fontId="13" fillId="0" borderId="0" xfId="0" applyNumberFormat="1" applyFont="1"/>
    <xf numFmtId="41" fontId="12" fillId="0" borderId="1" xfId="0" applyNumberFormat="1" applyFont="1" applyBorder="1"/>
    <xf numFmtId="41" fontId="14" fillId="0" borderId="0" xfId="0" applyNumberFormat="1" applyFont="1"/>
    <xf numFmtId="41" fontId="7" fillId="0" borderId="0" xfId="0" applyNumberFormat="1" applyFont="1" applyAlignment="1">
      <alignment horizontal="right"/>
    </xf>
    <xf numFmtId="41" fontId="13" fillId="0" borderId="0" xfId="0" applyNumberFormat="1" applyFont="1" applyAlignment="1">
      <alignment horizontal="right"/>
    </xf>
    <xf numFmtId="0" fontId="14" fillId="0" borderId="0" xfId="0" applyFont="1"/>
    <xf numFmtId="9" fontId="14" fillId="0" borderId="0" xfId="0" applyNumberFormat="1" applyFont="1"/>
    <xf numFmtId="0" fontId="13" fillId="0" borderId="0" xfId="0" applyFont="1"/>
    <xf numFmtId="164" fontId="14" fillId="0" borderId="0" xfId="0" applyNumberFormat="1" applyFont="1"/>
    <xf numFmtId="167" fontId="14" fillId="0" borderId="0" xfId="1" applyNumberFormat="1" applyFont="1"/>
    <xf numFmtId="0" fontId="15" fillId="0" borderId="0" xfId="2" applyFont="1"/>
    <xf numFmtId="41" fontId="16" fillId="0" borderId="0" xfId="0" applyNumberFormat="1" applyFont="1"/>
    <xf numFmtId="41" fontId="17" fillId="0" borderId="0" xfId="0" applyNumberFormat="1" applyFont="1"/>
    <xf numFmtId="167" fontId="14" fillId="0" borderId="0" xfId="0" applyNumberFormat="1" applyFont="1"/>
    <xf numFmtId="41" fontId="17" fillId="0" borderId="0" xfId="0" applyNumberFormat="1" applyFont="1" applyAlignment="1">
      <alignment horizontal="left" indent="1"/>
    </xf>
    <xf numFmtId="41" fontId="19" fillId="0" borderId="0" xfId="0" applyNumberFormat="1" applyFont="1" applyAlignment="1">
      <alignment horizontal="left" indent="1"/>
    </xf>
    <xf numFmtId="41" fontId="19" fillId="0" borderId="0" xfId="0" applyNumberFormat="1" applyFont="1"/>
    <xf numFmtId="41" fontId="18" fillId="0" borderId="1" xfId="0" applyNumberFormat="1" applyFont="1" applyBorder="1"/>
    <xf numFmtId="0" fontId="7" fillId="0" borderId="0" xfId="0" applyFont="1" applyAlignment="1">
      <alignment horizontal="left"/>
    </xf>
    <xf numFmtId="0" fontId="0" fillId="0" borderId="2" xfId="0" applyBorder="1"/>
    <xf numFmtId="0" fontId="12" fillId="0" borderId="0" xfId="0" applyFont="1"/>
    <xf numFmtId="0" fontId="17" fillId="0" borderId="0" xfId="0" applyFont="1"/>
    <xf numFmtId="41" fontId="0" fillId="0" borderId="0" xfId="1" applyNumberFormat="1" applyFont="1"/>
    <xf numFmtId="170" fontId="0" fillId="0" borderId="0" xfId="0" applyNumberFormat="1"/>
    <xf numFmtId="170" fontId="0" fillId="0" borderId="1" xfId="0" applyNumberFormat="1" applyBorder="1" applyAlignment="1">
      <alignment horizontal="left"/>
    </xf>
    <xf numFmtId="170" fontId="0" fillId="0" borderId="1" xfId="0" applyNumberFormat="1" applyBorder="1"/>
    <xf numFmtId="170" fontId="0" fillId="0" borderId="0" xfId="0" applyNumberFormat="1" applyAlignment="1">
      <alignment horizontal="left"/>
    </xf>
    <xf numFmtId="0" fontId="0" fillId="0" borderId="0" xfId="0" applyAlignment="1">
      <alignment horizontal="left" indent="2"/>
    </xf>
    <xf numFmtId="0" fontId="7" fillId="0" borderId="0" xfId="0" applyFont="1" applyAlignment="1">
      <alignment horizontal="left" indent="2"/>
    </xf>
    <xf numFmtId="10" fontId="0" fillId="0" borderId="0" xfId="0" applyNumberFormat="1"/>
    <xf numFmtId="0" fontId="14" fillId="0" borderId="0" xfId="0" applyFont="1" applyAlignment="1">
      <alignment horizontal="left" indent="1"/>
    </xf>
    <xf numFmtId="0" fontId="17" fillId="0" borderId="0" xfId="0" applyFont="1" applyAlignment="1">
      <alignment horizontal="left" indent="1"/>
    </xf>
    <xf numFmtId="0" fontId="17" fillId="0" borderId="0" xfId="0" applyFont="1" applyAlignment="1">
      <alignment horizontal="left"/>
    </xf>
    <xf numFmtId="10" fontId="14" fillId="0" borderId="0" xfId="0" applyNumberFormat="1" applyFont="1"/>
    <xf numFmtId="167" fontId="20" fillId="0" borderId="0" xfId="0" applyNumberFormat="1" applyFont="1"/>
    <xf numFmtId="41" fontId="20" fillId="0" borderId="0" xfId="0" applyNumberFormat="1" applyFont="1"/>
    <xf numFmtId="10" fontId="3" fillId="0" borderId="1" xfId="0" applyNumberFormat="1" applyFont="1" applyBorder="1"/>
    <xf numFmtId="41" fontId="6" fillId="2" borderId="0" xfId="0" applyNumberFormat="1" applyFont="1" applyFill="1"/>
    <xf numFmtId="41" fontId="5" fillId="0" borderId="0" xfId="0" applyNumberFormat="1" applyFont="1" applyAlignment="1">
      <alignment horizontal="center" vertical="center"/>
    </xf>
    <xf numFmtId="41" fontId="5" fillId="0" borderId="4" xfId="0" applyNumberFormat="1" applyFont="1" applyBorder="1"/>
    <xf numFmtId="41" fontId="5" fillId="2" borderId="0" xfId="0" applyNumberFormat="1" applyFont="1" applyFill="1"/>
    <xf numFmtId="41" fontId="6" fillId="0" borderId="1" xfId="0" applyNumberFormat="1" applyFont="1" applyBorder="1"/>
    <xf numFmtId="41" fontId="5" fillId="0" borderId="1" xfId="0" applyNumberFormat="1" applyFont="1" applyBorder="1"/>
    <xf numFmtId="0" fontId="0" fillId="0" borderId="1" xfId="0" applyBorder="1" applyAlignment="1">
      <alignment horizontal="left"/>
    </xf>
    <xf numFmtId="168" fontId="20" fillId="0" borderId="0" xfId="0" applyNumberFormat="1" applyFont="1"/>
    <xf numFmtId="41" fontId="11" fillId="0" borderId="0" xfId="0" applyNumberFormat="1" applyFont="1" applyAlignment="1">
      <alignment horizontal="left" indent="1"/>
    </xf>
    <xf numFmtId="41" fontId="20" fillId="0" borderId="0" xfId="0" quotePrefix="1" applyNumberFormat="1" applyFont="1" applyAlignment="1">
      <alignment horizontal="left" indent="1"/>
    </xf>
    <xf numFmtId="0" fontId="19" fillId="0" borderId="0" xfId="0" applyFont="1"/>
    <xf numFmtId="41" fontId="6" fillId="0" borderId="5" xfId="0" applyNumberFormat="1" applyFont="1" applyBorder="1"/>
    <xf numFmtId="41" fontId="6" fillId="0" borderId="3" xfId="0" applyNumberFormat="1" applyFont="1" applyBorder="1" applyAlignment="1">
      <alignment horizontal="center" vertical="center"/>
    </xf>
    <xf numFmtId="0" fontId="21" fillId="0" borderId="0" xfId="0" applyFont="1"/>
    <xf numFmtId="0" fontId="17" fillId="0" borderId="0" xfId="0" quotePrefix="1" applyFont="1" applyAlignment="1">
      <alignment horizontal="left" indent="1"/>
    </xf>
    <xf numFmtId="167" fontId="17" fillId="0" borderId="0" xfId="0" applyNumberFormat="1" applyFont="1"/>
    <xf numFmtId="9" fontId="17" fillId="0" borderId="0" xfId="0" applyNumberFormat="1" applyFont="1"/>
    <xf numFmtId="0" fontId="7" fillId="0" borderId="1" xfId="0" applyFont="1" applyBorder="1"/>
    <xf numFmtId="164" fontId="23" fillId="0" borderId="1" xfId="0" applyNumberFormat="1" applyFont="1" applyBorder="1" applyAlignment="1">
      <alignment horizontal="center"/>
    </xf>
    <xf numFmtId="0" fontId="8" fillId="0" borderId="0" xfId="2" applyFont="1"/>
    <xf numFmtId="41" fontId="24" fillId="0" borderId="0" xfId="0" applyNumberFormat="1" applyFont="1"/>
    <xf numFmtId="0" fontId="0" fillId="0" borderId="3" xfId="0" applyBorder="1"/>
    <xf numFmtId="0" fontId="7" fillId="0" borderId="3" xfId="0" applyFont="1" applyBorder="1"/>
    <xf numFmtId="167" fontId="7" fillId="0" borderId="0" xfId="1" applyNumberFormat="1" applyFont="1"/>
    <xf numFmtId="167" fontId="19" fillId="0" borderId="0" xfId="1" applyNumberFormat="1" applyFont="1"/>
    <xf numFmtId="0" fontId="13" fillId="0" borderId="0" xfId="0" applyFont="1" applyAlignment="1">
      <alignment horizontal="left" indent="1"/>
    </xf>
    <xf numFmtId="43" fontId="0" fillId="0" borderId="0" xfId="0" applyNumberFormat="1"/>
    <xf numFmtId="171" fontId="3" fillId="0" borderId="0" xfId="0" applyNumberFormat="1" applyFont="1"/>
    <xf numFmtId="0" fontId="22" fillId="0" borderId="4" xfId="0" applyFont="1" applyBorder="1" applyAlignment="1">
      <alignment horizontal="left" indent="1"/>
    </xf>
    <xf numFmtId="0" fontId="3" fillId="0" borderId="5" xfId="0" applyFont="1" applyBorder="1"/>
    <xf numFmtId="0" fontId="0" fillId="0" borderId="4" xfId="0" applyBorder="1"/>
    <xf numFmtId="0" fontId="9" fillId="0" borderId="0" xfId="0" applyFont="1"/>
    <xf numFmtId="0" fontId="14" fillId="0" borderId="0" xfId="0" applyFont="1" applyAlignment="1">
      <alignment horizontal="center"/>
    </xf>
    <xf numFmtId="0" fontId="25" fillId="0" borderId="0" xfId="0" applyFont="1"/>
    <xf numFmtId="167" fontId="0" fillId="0" borderId="0" xfId="1" applyNumberFormat="1" applyFont="1" applyBorder="1"/>
    <xf numFmtId="10" fontId="9" fillId="0" borderId="0" xfId="1" applyNumberFormat="1" applyFont="1" applyBorder="1"/>
    <xf numFmtId="167" fontId="2" fillId="0" borderId="0" xfId="0" applyNumberFormat="1" applyFont="1"/>
    <xf numFmtId="167" fontId="2" fillId="0" borderId="0" xfId="0" applyNumberFormat="1" applyFont="1" applyAlignment="1">
      <alignment horizontal="center"/>
    </xf>
    <xf numFmtId="0" fontId="0" fillId="0" borderId="2" xfId="0" applyBorder="1" applyAlignment="1">
      <alignment horizontal="center"/>
    </xf>
    <xf numFmtId="0" fontId="3" fillId="0" borderId="0" xfId="0" applyFont="1" applyAlignment="1">
      <alignment horizontal="center"/>
    </xf>
    <xf numFmtId="0" fontId="0" fillId="0" borderId="4" xfId="0" applyBorder="1" applyAlignment="1">
      <alignment horizontal="center"/>
    </xf>
    <xf numFmtId="167" fontId="0" fillId="0" borderId="6" xfId="1" applyNumberFormat="1" applyFont="1" applyBorder="1" applyAlignment="1">
      <alignment horizontal="center"/>
    </xf>
    <xf numFmtId="167" fontId="0" fillId="0" borderId="7" xfId="1" applyNumberFormat="1" applyFont="1" applyBorder="1" applyAlignment="1">
      <alignment horizontal="center"/>
    </xf>
    <xf numFmtId="167" fontId="0" fillId="0" borderId="8" xfId="1" applyNumberFormat="1" applyFont="1" applyBorder="1" applyAlignment="1">
      <alignment horizontal="center"/>
    </xf>
    <xf numFmtId="0" fontId="3" fillId="2" borderId="7" xfId="0" applyFont="1" applyFill="1" applyBorder="1" applyAlignment="1">
      <alignment horizontal="center"/>
    </xf>
    <xf numFmtId="0" fontId="0" fillId="2" borderId="6" xfId="0" applyFill="1" applyBorder="1"/>
    <xf numFmtId="0" fontId="0" fillId="2" borderId="7" xfId="0" applyFill="1" applyBorder="1"/>
    <xf numFmtId="0" fontId="0" fillId="2" borderId="8" xfId="0" applyFill="1" applyBorder="1"/>
    <xf numFmtId="0" fontId="26" fillId="0" borderId="0" xfId="0" applyFont="1"/>
    <xf numFmtId="164" fontId="27" fillId="0" borderId="0" xfId="0" applyNumberFormat="1" applyFont="1"/>
    <xf numFmtId="165" fontId="9" fillId="0" borderId="0" xfId="0" applyNumberFormat="1" applyFont="1"/>
    <xf numFmtId="41" fontId="18" fillId="0" borderId="0" xfId="0" applyNumberFormat="1" applyFont="1"/>
    <xf numFmtId="0" fontId="18" fillId="0" borderId="0" xfId="0" applyFont="1"/>
    <xf numFmtId="0" fontId="0" fillId="0" borderId="9" xfId="0" applyBorder="1"/>
    <xf numFmtId="0" fontId="19" fillId="0" borderId="0" xfId="0" applyFont="1" applyAlignment="1">
      <alignment horizontal="left" indent="1"/>
    </xf>
    <xf numFmtId="0" fontId="3" fillId="0" borderId="3" xfId="0" applyFont="1" applyBorder="1" applyAlignment="1">
      <alignment horizontal="center"/>
    </xf>
    <xf numFmtId="2" fontId="3" fillId="0" borderId="0" xfId="0" applyNumberFormat="1" applyFont="1" applyAlignment="1">
      <alignment horizontal="center"/>
    </xf>
    <xf numFmtId="0" fontId="7" fillId="2" borderId="0" xfId="0" applyFont="1" applyFill="1"/>
    <xf numFmtId="41" fontId="7" fillId="2" borderId="0" xfId="0" applyNumberFormat="1" applyFont="1" applyFill="1"/>
    <xf numFmtId="0" fontId="7" fillId="0" borderId="0" xfId="0" quotePrefix="1" applyFont="1"/>
    <xf numFmtId="41" fontId="7" fillId="0" borderId="1" xfId="0" applyNumberFormat="1" applyFont="1" applyBorder="1"/>
    <xf numFmtId="167" fontId="28" fillId="0" borderId="0" xfId="0" applyNumberFormat="1" applyFont="1"/>
    <xf numFmtId="168" fontId="28" fillId="0" borderId="0" xfId="0" applyNumberFormat="1" applyFont="1"/>
    <xf numFmtId="9" fontId="29" fillId="0" borderId="0" xfId="0" applyNumberFormat="1" applyFont="1"/>
    <xf numFmtId="41" fontId="11" fillId="0" borderId="0" xfId="0" applyNumberFormat="1" applyFont="1" applyAlignment="1">
      <alignment horizontal="right"/>
    </xf>
    <xf numFmtId="41" fontId="29" fillId="0" borderId="0" xfId="0" applyNumberFormat="1" applyFont="1"/>
    <xf numFmtId="0" fontId="28" fillId="0" borderId="0" xfId="0" applyFont="1"/>
    <xf numFmtId="9" fontId="28" fillId="0" borderId="0" xfId="0" applyNumberFormat="1" applyFont="1"/>
    <xf numFmtId="0" fontId="28" fillId="0" borderId="0" xfId="0" applyFont="1" applyAlignment="1">
      <alignment horizontal="left" indent="1"/>
    </xf>
    <xf numFmtId="10" fontId="28" fillId="0" borderId="0" xfId="0" applyNumberFormat="1" applyFont="1"/>
    <xf numFmtId="167" fontId="0" fillId="0" borderId="0" xfId="1" applyNumberFormat="1" applyFont="1" applyBorder="1" applyAlignment="1">
      <alignment horizontal="center"/>
    </xf>
    <xf numFmtId="9" fontId="25" fillId="0" borderId="0" xfId="0" applyNumberFormat="1" applyFont="1" applyAlignment="1">
      <alignment horizontal="center"/>
    </xf>
    <xf numFmtId="0" fontId="30" fillId="0" borderId="0" xfId="0" applyFont="1"/>
    <xf numFmtId="167" fontId="30" fillId="0" borderId="0" xfId="1" applyNumberFormat="1" applyFont="1"/>
    <xf numFmtId="9" fontId="13" fillId="0" borderId="0" xfId="0" applyNumberFormat="1" applyFont="1"/>
    <xf numFmtId="167" fontId="3" fillId="0" borderId="2" xfId="0" applyNumberFormat="1" applyFont="1" applyBorder="1" applyAlignment="1">
      <alignment horizontal="center"/>
    </xf>
    <xf numFmtId="167" fontId="3" fillId="0" borderId="0" xfId="0" applyNumberFormat="1" applyFont="1" applyAlignment="1">
      <alignment horizontal="center"/>
    </xf>
    <xf numFmtId="167" fontId="3" fillId="0" borderId="4" xfId="0" applyNumberFormat="1" applyFont="1" applyBorder="1" applyAlignment="1">
      <alignment horizontal="center"/>
    </xf>
    <xf numFmtId="168" fontId="3" fillId="0" borderId="2" xfId="0" applyNumberFormat="1" applyFont="1" applyBorder="1" applyAlignment="1">
      <alignment horizontal="center"/>
    </xf>
    <xf numFmtId="168" fontId="3" fillId="0" borderId="0" xfId="0" applyNumberFormat="1" applyFont="1" applyAlignment="1">
      <alignment horizontal="center"/>
    </xf>
    <xf numFmtId="168" fontId="3" fillId="0" borderId="4" xfId="0" applyNumberFormat="1" applyFont="1" applyBorder="1" applyAlignment="1">
      <alignment horizontal="center"/>
    </xf>
    <xf numFmtId="169" fontId="0" fillId="0" borderId="0" xfId="0" applyNumberFormat="1"/>
    <xf numFmtId="0" fontId="9" fillId="0" borderId="0" xfId="0" applyFont="1" applyAlignment="1">
      <alignment horizontal="center"/>
    </xf>
    <xf numFmtId="167" fontId="3" fillId="0" borderId="10" xfId="0" applyNumberFormat="1" applyFont="1" applyBorder="1" applyAlignment="1">
      <alignment horizontal="center"/>
    </xf>
    <xf numFmtId="167" fontId="3" fillId="0" borderId="11" xfId="0" applyNumberFormat="1" applyFont="1" applyBorder="1" applyAlignment="1">
      <alignment horizontal="center"/>
    </xf>
    <xf numFmtId="167" fontId="3" fillId="0" borderId="3" xfId="0" applyNumberFormat="1" applyFont="1" applyBorder="1" applyAlignment="1">
      <alignment horizontal="center"/>
    </xf>
    <xf numFmtId="167" fontId="3" fillId="0" borderId="5" xfId="0" applyNumberFormat="1" applyFont="1" applyBorder="1" applyAlignment="1">
      <alignment horizontal="center"/>
    </xf>
    <xf numFmtId="167" fontId="3" fillId="0" borderId="12" xfId="0" applyNumberFormat="1" applyFont="1" applyBorder="1" applyAlignment="1">
      <alignment horizontal="center"/>
    </xf>
    <xf numFmtId="167" fontId="0" fillId="0" borderId="1" xfId="1" applyNumberFormat="1" applyFont="1" applyBorder="1"/>
    <xf numFmtId="167" fontId="0" fillId="0" borderId="3" xfId="1" applyNumberFormat="1" applyFont="1" applyBorder="1"/>
    <xf numFmtId="167" fontId="0" fillId="0" borderId="13" xfId="1" applyNumberFormat="1" applyFont="1" applyBorder="1"/>
    <xf numFmtId="167" fontId="0" fillId="0" borderId="4" xfId="1" applyNumberFormat="1" applyFont="1" applyBorder="1"/>
    <xf numFmtId="167" fontId="0" fillId="0" borderId="5" xfId="1" applyNumberFormat="1" applyFont="1" applyBorder="1"/>
    <xf numFmtId="167" fontId="3" fillId="0" borderId="14" xfId="0" applyNumberFormat="1" applyFont="1" applyBorder="1" applyAlignment="1">
      <alignment horizontal="center"/>
    </xf>
    <xf numFmtId="0" fontId="0" fillId="2" borderId="12" xfId="0" applyFill="1" applyBorder="1"/>
    <xf numFmtId="0" fontId="0" fillId="2" borderId="10" xfId="0" applyFill="1" applyBorder="1"/>
    <xf numFmtId="0" fontId="3" fillId="2" borderId="10" xfId="0" applyFont="1" applyFill="1" applyBorder="1"/>
    <xf numFmtId="0" fontId="0" fillId="2" borderId="14" xfId="0" applyFill="1" applyBorder="1"/>
    <xf numFmtId="167" fontId="9" fillId="0" borderId="0" xfId="0" applyNumberFormat="1" applyFont="1"/>
    <xf numFmtId="167" fontId="25" fillId="0" borderId="0" xfId="0" applyNumberFormat="1" applyFont="1" applyAlignment="1">
      <alignment horizontal="center"/>
    </xf>
    <xf numFmtId="41" fontId="31" fillId="0" borderId="0" xfId="0" applyNumberFormat="1" applyFont="1"/>
    <xf numFmtId="43" fontId="14" fillId="0" borderId="0" xfId="0" applyNumberFormat="1" applyFont="1"/>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2" borderId="8" xfId="0" applyFont="1" applyFill="1" applyBorder="1" applyAlignment="1">
      <alignment horizontal="center"/>
    </xf>
    <xf numFmtId="2" fontId="0" fillId="0" borderId="0" xfId="0" applyNumberFormat="1"/>
    <xf numFmtId="172" fontId="19" fillId="0" borderId="0" xfId="0" applyNumberFormat="1" applyFon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4">
  <rv s="0">
    <v>0</v>
    <v>CAVA GROUP, INC. (XNYS:CAVA)</v>
    <v>2</v>
    <v>3</v>
    <v>Finance</v>
    <v>4</v>
    <v>en-US</v>
    <v>ca26qh</v>
    <v>268435456</v>
    <v>1</v>
    <v>Powered by Refinitiv</v>
    <v>172.4299</v>
    <v>46.57</v>
    <v>2.048</v>
    <v>-3.75</v>
    <v>-7.4449000000000001E-2</v>
    <v>0.31</v>
    <v>6.6540000000000002E-3</v>
    <v>USD</v>
    <v>CAVA Group, Inc. is a category-defining Mediterranean fast-casual restaurant brand. The Company’s Mediterranean cuisine unites taste and health, with a menu that features chef-curated and customizable bowls and pitas. Its dips, spreads, and dressings are centrally produced and sold in grocery stores. Its menu offers a range of dietary preferences, from hearty and indulgent to vegan, vegetarian, gluten-free, dairy-free, paleo, keto, and nut-free diets. Its guests can choose a chef-curated meal or a build-your-own-bowl or pita using its 38 ingredients with over 17.4 billion combinations. It has developed a multi-channel experience that consists of in-restaurant dining, digital pick-up, drive-thru pick-up in select restaurants, delivery, catering, and consumer packaged goods offerings, fully supported by its digital infrastructure. It operates two production facilities: one in Maryland and one in Virginia. It operates in approximately 26 states and the District of Columbia.</v>
    <v>10690</v>
    <v>New York Stock Exchange</v>
    <v>XNYS</v>
    <v>XNYS</v>
    <v>14 RIDGE SQUARE NW, SUITE 500, WASHINGTON, DC, 20016 US</v>
    <v>50.35</v>
    <v>Hotels &amp; Entertainment Services</v>
    <v>Stock</v>
    <v>45967.905626539061</v>
    <v>46.57</v>
    <v>5405789466</v>
    <v>CAVA GROUP, INC.</v>
    <v>CAVA GROUP, INC.</v>
    <v>50.2</v>
    <v>43.410800000000002</v>
    <v>50.37</v>
    <v>46.62</v>
    <v>46.9</v>
    <v>115954300</v>
    <v>CAVA</v>
    <v>CAVA GROUP, INC. (XNYS:CAVA)</v>
    <v>5998304</v>
    <v>4286810</v>
    <v>2015</v>
  </rv>
  <rv s="1">
    <v>0</v>
  </rv>
  <rv s="2">
    <v>https://www.bing.com/financeapi/forcetrigger?t=a1pxbh&amp;q=XNYS%3aCMG&amp;form=skydnc</v>
    <v>Learn more on Bing</v>
  </rv>
  <rv s="3">
    <v>5</v>
    <v>CHIPOTLE MEXICAN GRILL, INC. (XNYS:CMG)</v>
    <v>6</v>
    <v>3</v>
    <v>Finance</v>
    <v>4</v>
    <v>en-US</v>
    <v>a1pxbh</v>
    <v>268435456</v>
    <v>1</v>
    <v>Powered by Refinitiv</v>
    <v>66.739999999999995</v>
    <v>30.48</v>
    <v>0.996</v>
    <v>-1.39</v>
    <v>-4.3478000000000003E-2</v>
    <v>0.04</v>
    <v>1.3089999999999998E-3</v>
    <v>USD</v>
    <v>Chipotle Mexican Grill, Inc. is a restaurant company. The Company develops and operates restaurants that serve a menu of burritos, burrito bowls, quesadillas, tacos, and salads, made using fresh ingredients. The Company operates approximately 3839 restaurants in the United States, Canada, the United Kingdom, France, Germany, Kuwait, and United Arab Emirates. It owns and operates all its restaurants in North America and Europe. The Company is focused in serving sourced, classically cooked, real food with wholesome ingredients without artificial colors, flavors or preservatives. Its menu includes Burrito, Burrito Bowl, Lifestyle Bowl, Quesadilla, Salad, Tacos, Kid’s Meal, Chips and Sides, and Build your Own (digital only). It also includes Raymonte’s Chicken Bowl, The Mr. Fantasy Burrito, Carne Asada, Build-Your-Own Chipotle, catering and group order. Its subsidiaries include Chipotle Mexican Grill Canada Corp., Chipotle Mexican Grill France SAS, among others.</v>
    <v>130504</v>
    <v>New York Stock Exchange</v>
    <v>XNYS</v>
    <v>XNYS</v>
    <v>610 Newport Center Dr., NEWPORT BEACH, CA, 92660 US</v>
    <v>32</v>
    <v>Hotels &amp; Entertainment Services</v>
    <v>Stock</v>
    <v>45967.905576457815</v>
    <v>2</v>
    <v>30.48</v>
    <v>40435261240</v>
    <v>CHIPOTLE MEXICAN GRILL, INC.</v>
    <v>CHIPOTLE MEXICAN GRILL, INC.</v>
    <v>31.56</v>
    <v>26.942699999999999</v>
    <v>31.97</v>
    <v>30.58</v>
    <v>30.6</v>
    <v>1322278000</v>
    <v>CMG</v>
    <v>CHIPOTLE MEXICAN GRILL, INC. (XNYS:CMG)</v>
    <v>30819537</v>
    <v>23126004</v>
    <v>1998</v>
  </rv>
  <rv s="1">
    <v>3</v>
  </rv>
  <rv s="2">
    <v>https://www.bing.com/financeapi/forcetrigger?t=a26em7&amp;q=XNYS%3aYUM&amp;form=skydnc</v>
    <v>Learn more on Bing</v>
  </rv>
  <rv s="3">
    <v>5</v>
    <v>YUM! BRANDS, INC. (XNYS:YUM)</v>
    <v>6</v>
    <v>3</v>
    <v>Finance</v>
    <v>7</v>
    <v>en-US</v>
    <v>a26em7</v>
    <v>268435456</v>
    <v>1</v>
    <v>Powered by Refinitiv</v>
    <v>163.30000000000001</v>
    <v>122.13</v>
    <v>0.66410000000000002</v>
    <v>-1.78</v>
    <v>-1.1915E-2</v>
    <v>0.01</v>
    <v>6.7749999999999993E-5</v>
    <v>USD</v>
    <v>YUM! Brands, Inc. and its subsidiaries franchise or operate a system of approximately 61,000 restaurants in 155 countries and territories under the concepts of KFC, Taco Bell, Pizza Hut and The Habit Burger Grill. It consists of four operating segments: The KFC Division, which includes its worldwide operations of the KFC concept; The Taco Bell Division, which includes its worldwide operations of the Taco Bell concept; The Pizza Hut Division, which includes its worldwide operations of the Pizza Hut concept; and The Habit Burger Grill Division, which includes its worldwide operations of the Habit Burger Grill concept. It develops, operates, or franchises a system of both traditional and non-traditional restaurants. KFC restaurants offer fried and non-fried chicken products. Taco Bell offers Mexican-style food products. Pizza Hut specializes in the sale of ready-to-eat pizza products. The Habit Burger Grill offers chargrilled burgers and sandwiches made-to-order over an open flame.</v>
    <v>23000</v>
    <v>New York Stock Exchange</v>
    <v>XNYS</v>
    <v>XNYS</v>
    <v>1441 Gardiner Lane, LOUISVILLE, KY, 40213 US</v>
    <v>150.18</v>
    <v>Hotels &amp; Entertainment Services</v>
    <v>Stock</v>
    <v>45967.894573078127</v>
    <v>5</v>
    <v>146.39500000000001</v>
    <v>40967044677</v>
    <v>YUM! BRANDS, INC.</v>
    <v>YUM! BRANDS, INC.</v>
    <v>148.81</v>
    <v>28.801400000000001</v>
    <v>149.38999999999999</v>
    <v>147.61000000000001</v>
    <v>147.62</v>
    <v>277535700</v>
    <v>YUM</v>
    <v>YUM! BRANDS, INC. (XNYS:YUM)</v>
    <v>2713083</v>
    <v>1939229</v>
    <v>1997</v>
  </rv>
  <rv s="1">
    <v>6</v>
  </rv>
  <rv s="2">
    <v>http://en.wikipedia.org/wiki/Public_domain</v>
    <v>Public domain</v>
  </rv>
  <rv s="2">
    <v>http://en.wikipedia.org/wiki/Shake_Shack</v>
    <v>Wikipedia</v>
  </rv>
  <rv s="4">
    <v>8</v>
    <v>9</v>
  </rv>
  <rv s="5">
    <v>12</v>
    <v>https://www.bing.com/th?id=AMMS_e7926709713a70d0ca1ce8199dbe50b0&amp;qlt=95</v>
    <v>10</v>
    <v>0</v>
    <v>https://www.bing.com/images/search?form=xlimg&amp;q=shake+shack</v>
    <v>Image of SHAKE SHACK INC.</v>
  </rv>
  <rv s="2">
    <v>https://www.bing.com/financeapi/forcetrigger?t=a22voc&amp;q=XNYS%3aSHAK&amp;form=skydnc</v>
    <v>Learn more on Bing</v>
  </rv>
  <rv s="6">
    <v>8</v>
    <v>SHAKE SHACK INC. (XNYS:SHAK)</v>
    <v>10</v>
    <v>11</v>
    <v>Finance</v>
    <v>4</v>
    <v>en-US</v>
    <v>a22voc</v>
    <v>268435456</v>
    <v>1</v>
    <v>Powered by Refinitiv</v>
    <v>144.65</v>
    <v>72.930000000000007</v>
    <v>1.6596</v>
    <v>-3.83</v>
    <v>-4.0008000000000002E-2</v>
    <v>0.44</v>
    <v>4.7870000000000005E-3</v>
    <v>USD</v>
    <v>Shake Shack Inc. is engaged in serving an American menu of Angus beef burgers, crispy chicken, hand-spun milkshakes, house-made lemonades, beer, wine, and more. The Company’s menu focuses on food and beverages, carefully crafted from a range of classic American foods. Its burger categories include ShackBurger, SmokeShack, Shroom Burger (a vegetarian burger), Shack Stack, Avocado Bacon Burger and Hamburger. Its chicken products include Chicken Shack and Chicken Bites. It also offers wines, including Shack Red, Shack White, and Shack Rose. In addition, it serves Abita Root Beer, Shack-made lemonade, organic fresh brewed iced tea, Fifty/Fifty, Honest Kids organic apple juice and Shack2O bottled still and sparkling waters. The Company operates in approximately 570 locations system-wide, including over 370 in 34 U.S. States and the District of Columbia, and over 200 international locations across London, Hong Kong, Shanghai, Singapore, Mexico City, Istanbul, Dubai, Tokyo, Seoul and more.</v>
    <v>12826</v>
    <v>New York Stock Exchange</v>
    <v>XNYS</v>
    <v>XNYS</v>
    <v>225 Varick St Rm 301, NEW YORK, NY, 10014-5816 US</v>
    <v>95.453500000000005</v>
    <v>11</v>
    <v>Hotels &amp; Entertainment Services</v>
    <v>Stock</v>
    <v>45967.900455323441</v>
    <v>12</v>
    <v>91.71</v>
    <v>3923062122</v>
    <v>SHAKE SHACK INC.</v>
    <v>SHAKE SHACK INC.</v>
    <v>94.87</v>
    <v>91.433700000000002</v>
    <v>95.73</v>
    <v>91.9</v>
    <v>92.35</v>
    <v>42688380</v>
    <v>SHAK</v>
    <v>SHAKE SHACK INC. (XNYS:SHAK)</v>
    <v>963004</v>
    <v>1405755</v>
    <v>2014</v>
  </rv>
  <rv s="1">
    <v>13</v>
  </rv>
  <rv s="2">
    <v>https://www.bing.com/financeapi/forcetrigger?t=a22k9c&amp;q=XNAS%3aSBUX&amp;form=skydnc</v>
    <v>Learn more on Bing</v>
  </rv>
  <rv s="3">
    <v>5</v>
    <v>STARBUCKS CORPORATION (XNAS:SBUX)</v>
    <v>6</v>
    <v>3</v>
    <v>Finance</v>
    <v>4</v>
    <v>en-US</v>
    <v>a22k9c</v>
    <v>268435456</v>
    <v>1</v>
    <v>Powered by Refinitiv</v>
    <v>117.46</v>
    <v>75.5</v>
    <v>0.97770000000000001</v>
    <v>-0.66</v>
    <v>-7.9629999999999996E-3</v>
    <v>0.19</v>
    <v>2.3110000000000001E-3</v>
    <v>USD</v>
    <v>Starbucks Corporations is a roaster, marketer, and retailer of specialty coffee globally. Its North America segment includes the United States and Canada. Its International segment includes China, Japan, Asia Pacific, Europe, Middle East and Africa, Latin America, and the Caribbean. Its North America and International segments include both Company-operated and licensed stores. The Channel Development segment includes roasted whole bean and ground coffees, Starbucks-branded single-serve products, a variety of ready-to-drink beverages, such as Frappuccino and Starbucks Doubleshot, foodservice products, and other branded products sold outside the Company-operated and licensed stores. A large portion of its Channel Development business operates under a licensed model of the Global Coffee Alliance with Nestle, while its global ready-to-drink businesses operate under collaborative relationships with PepsiCo, Inc., Tingyi-Ashi Beverages Holding Co., Ltd., Arla Foods amba, Nestle, and others.</v>
    <v>361000</v>
    <v>Nasdaq Stock Market</v>
    <v>XNAS</v>
    <v>XNAS</v>
    <v>2401 Utah Ave S, Ms: S-La1, SEATTLE, WA, 98134 US</v>
    <v>83.85</v>
    <v>Hotels &amp; Entertainment Services</v>
    <v>Stock</v>
    <v>45967.905179258596</v>
    <v>15</v>
    <v>81.86</v>
    <v>93475918000</v>
    <v>STARBUCKS CORPORATION</v>
    <v>STARBUCKS CORPORATION</v>
    <v>82.564999999999998</v>
    <v>50.460299999999997</v>
    <v>82.88</v>
    <v>82.22</v>
    <v>82.41</v>
    <v>1136900000</v>
    <v>SBUX</v>
    <v>STARBUCKS CORPORATION (XNAS:SBUX)</v>
    <v>10376674</v>
    <v>10518567</v>
    <v>1985</v>
  </rv>
  <rv s="1">
    <v>16</v>
  </rv>
  <rv s="2">
    <v>http://en.wikipedia.org/wiki/McDonald's</v>
    <v>Wikipedia</v>
  </rv>
  <rv s="4">
    <v>8</v>
    <v>18</v>
  </rv>
  <rv s="5">
    <v>12</v>
    <v>https://www.bing.com/th?id=AMMS_7d8255243964a8970376f8dd41121106&amp;qlt=95</v>
    <v>19</v>
    <v>0</v>
    <v>https://www.bing.com/images/search?form=xlimg&amp;q=mcdonald%27s</v>
    <v>Image of MCDONALD'S CORPORATION</v>
  </rv>
  <rv s="2">
    <v>https://www.bing.com/financeapi/forcetrigger?t=a1xdec&amp;q=XNYS%3aMCD&amp;form=skydnc</v>
    <v>Learn more on Bing</v>
  </rv>
  <rv s="6">
    <v>8</v>
    <v>MCDONALD'S CORPORATION (XNYS:MCD)</v>
    <v>10</v>
    <v>11</v>
    <v>Finance</v>
    <v>4</v>
    <v>en-US</v>
    <v>a1xdec</v>
    <v>268435456</v>
    <v>1</v>
    <v>Powered by Refinitiv</v>
    <v>326.32</v>
    <v>276.52999999999997</v>
    <v>0.52039999999999997</v>
    <v>-7.15</v>
    <v>-2.3391000000000002E-2</v>
    <v>1.12E-2</v>
    <v>3.7530000000000002E-5</v>
    <v>USD</v>
    <v>McDonald's Corporation is a global foodservice retailer. Its segment includes U.S., International Operated Markets, and International Developmental Licensed Markets &amp; Corporate. The U.S. segment is its largest market and is 95% franchised. The International Operated Markets segment is comprised of markets, or countries in which it operates and franchises restaurants, including Australia, Canada, France, Germany, Italy, Poland, Spain, and the United Kingdom. This segment is 89% franchised. The International Developmental Licensed Markets &amp; Corporate segment is comprised of developmental licensee and affiliate markets, including equity method investments in China and Japan. This segment is 99% franchised. Its menu features hamburgers and cheeseburgers, the Big Mac, the Quarter Pounder with Cheese, the Filet-O-Fish, and several chicken sandwiches, such as the McChicken and McCrispy as well as Chicken McNuggets, Fries, shakes, sundaes, cookies, soft drinks, coffee, and other beverages.</v>
    <v>150000</v>
    <v>New York Stock Exchange</v>
    <v>XNYS</v>
    <v>XNYS</v>
    <v>110 N Carpenter St, CHICAGO, IL, 60607-2104 US</v>
    <v>306.41000000000003</v>
    <v>20</v>
    <v>Hotels &amp; Entertainment Services</v>
    <v>Stock</v>
    <v>45967.905611446091</v>
    <v>21</v>
    <v>297.51</v>
    <v>213025185488</v>
    <v>MCDONALD'S CORPORATION</v>
    <v>MCDONALD'S CORPORATION</v>
    <v>304.26</v>
    <v>25.461200000000002</v>
    <v>305.67</v>
    <v>298.52</v>
    <v>298.4212</v>
    <v>713604400</v>
    <v>MCD</v>
    <v>MCDONALD'S CORPORATION (XNYS:MCD)</v>
    <v>3504039</v>
    <v>2936677</v>
    <v>1964</v>
  </rv>
  <rv s="1">
    <v>22</v>
  </rv>
</rvData>
</file>

<file path=xl/richData/rdrichvaluestructure.xml><?xml version="1.0" encoding="utf-8"?>
<rvStructures xmlns="http://schemas.microsoft.com/office/spreadsheetml/2017/richdata" count="7">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
    <k n="%cvi" t="r"/>
  </s>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3">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3">
    <spb s="0">
      <v>0</v>
      <v>Name</v>
    </spb>
    <spb s="1">
      <v>0</v>
      <v>0</v>
      <v>0</v>
    </spb>
    <spb s="2">
      <v>1</v>
      <v>1</v>
      <v>1</v>
    </spb>
    <spb s="3">
      <v>1</v>
      <v>2</v>
      <v>2</v>
      <v>1</v>
      <v>3</v>
      <v>1</v>
      <v>1</v>
      <v>1</v>
      <v>4</v>
      <v>4</v>
      <v>5</v>
      <v>6</v>
      <v>1</v>
      <v>1</v>
      <v>1</v>
      <v>4</v>
      <v>7</v>
      <v>8</v>
      <v>9</v>
      <v>4</v>
      <v>1</v>
      <v>1</v>
      <v>5</v>
    </spb>
    <spb s="4">
      <v>at close</v>
      <v>from previous close</v>
      <v>from previous close</v>
      <v>Source: Nasdaq Last Sale</v>
      <v>GMT</v>
      <v>Real-Time Nasdaq Last Sale</v>
      <v>from close</v>
      <v>from close</v>
    </spb>
    <spb s="5">
      <v>1</v>
      <v>Name</v>
      <v>LearnMoreOnLink</v>
    </spb>
    <spb s="6">
      <v>1</v>
      <v>1</v>
      <v>1</v>
      <v>1</v>
    </spb>
    <spb s="4">
      <v>at close</v>
      <v>from previous close</v>
      <v>from previous close</v>
      <v>Source: Nasdaq</v>
      <v>GMT</v>
      <v>Delayed 15 minutes</v>
      <v>from close</v>
      <v>from close</v>
    </spb>
    <spb s="5">
      <v>2</v>
      <v>Name</v>
      <v>LearnMoreOnLink</v>
    </spb>
    <spb s="7">
      <v>0</v>
      <v>0</v>
    </spb>
    <spb s="8">
      <v>9</v>
      <v>1</v>
      <v>1</v>
      <v>1</v>
      <v>1</v>
    </spb>
    <spb s="9">
      <v>1</v>
      <v>2</v>
      <v>2</v>
      <v>1</v>
      <v>3</v>
      <v>1</v>
      <v>10</v>
      <v>1</v>
      <v>1</v>
      <v>4</v>
      <v>4</v>
      <v>5</v>
      <v>6</v>
      <v>1</v>
      <v>1</v>
      <v>1</v>
      <v>4</v>
      <v>7</v>
      <v>8</v>
      <v>9</v>
      <v>4</v>
      <v>1</v>
      <v>1</v>
      <v>5</v>
    </spb>
    <spb s="10">
      <v>Powered by Refinitiv</v>
    </spb>
  </spbData>
</supportingPropertyBags>
</file>

<file path=xl/richData/rdsupportingpropertybagstructure.xml><?xml version="1.0" encoding="utf-8"?>
<spbStructures xmlns="http://schemas.microsoft.com/office/spreadsheetml/2017/richdata2" count="11">
  <s>
    <k n="^Order" t="spba"/>
    <k n="TitleProperty" t="s"/>
  </s>
  <s>
    <k n="ShowInCardView" t="b"/>
    <k n="ShowInDotNotation" t="b"/>
    <k n="ShowInAutoComplete" t="b"/>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Order" t="spba"/>
    <k n="TitleProperty" t="s"/>
    <k n="SubTitleProperty" t="s"/>
  </s>
  <s>
    <k n="ExchangeID" t="spb"/>
    <k n="UniqueName" t="spb"/>
    <k n="`%ProviderInfo" t="spb"/>
    <k n="LearnMoreOnLink" t="spb"/>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34BDAA1-71CE-6545-B8C4-7A1E1179C666}">
  <we:reference id="db18cc72-1a17-45df-b60e-7ffb655e8af5" version="1.0.0.4" store="EXCatalog" storeType="EXCatalog"/>
  <we:alternateReferences>
    <we:reference id="WA104381701" version="1.0.0.4" store="en-US" storeType="OMEX"/>
  </we:alternateReferences>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8" Type="http://schemas.openxmlformats.org/officeDocument/2006/relationships/hyperlink" Target="https://dannymcbee.com/2023/06/19/initial-pita-offering-cavas-ipo/?utm_source=chatgpt.com" TargetMode="External"/><Relationship Id="rId3" Type="http://schemas.openxmlformats.org/officeDocument/2006/relationships/hyperlink" Target="https://www.newyorkfed.org/microeconomics/sce" TargetMode="External"/><Relationship Id="rId7" Type="http://schemas.openxmlformats.org/officeDocument/2006/relationships/hyperlink" Target="https://www.journalofaccountancy.com/news/2020/dec/forecasting-and-impairment-tips-amid-coronavirus-pandemic/?utm_source=chatgpt.com" TargetMode="External"/><Relationship Id="rId2" Type="http://schemas.openxmlformats.org/officeDocument/2006/relationships/hyperlink" Target="https://www.newyorkfed.org/microeconomics/sce" TargetMode="External"/><Relationship Id="rId1" Type="http://schemas.openxmlformats.org/officeDocument/2006/relationships/hyperlink" Target="https://d18rn0p25nwr6d.cloudfront.net/CIK-0001639438/c3dcc773-c245-4065-bbee-8cc0c9323365.pdf" TargetMode="External"/><Relationship Id="rId6" Type="http://schemas.openxmlformats.org/officeDocument/2006/relationships/hyperlink" Target="https://finance.yahoo.com/news/cava-opening-68-restaurants-2025-193000434.html?utm_source=chatgpt.com&amp;guccounter=1" TargetMode="External"/><Relationship Id="rId5" Type="http://schemas.openxmlformats.org/officeDocument/2006/relationships/hyperlink" Target="https://d18rn0p25nwr6d.cloudfront.net/CIK-0001639438/c3dcc773-c245-4065-bbee-8cc0c9323365.pdf" TargetMode="External"/><Relationship Id="rId4" Type="http://schemas.openxmlformats.org/officeDocument/2006/relationships/hyperlink" Target="https://investor.cava.com/news/news-details/2025/CAVA-Group-Reports-Second-Quarter-2025-Results/default.aspx?utm_source=chatgpt.com" TargetMode="External"/><Relationship Id="rId9" Type="http://schemas.openxmlformats.org/officeDocument/2006/relationships/hyperlink" Target="https://www.alphaspread.com/security/nyse/cava/investor-relations/earnings-call/q4-2024?utm_source=chatgpt.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wallstreetprep.com/knowledge/commitment-fee/" TargetMode="External"/><Relationship Id="rId2" Type="http://schemas.openxmlformats.org/officeDocument/2006/relationships/hyperlink" Target="https://fred.stlouisfed.org/series/BAMLH0A2HYBEY" TargetMode="External"/><Relationship Id="rId1" Type="http://schemas.openxmlformats.org/officeDocument/2006/relationships/hyperlink" Target="https://fred.stlouisfed.org/series/BAMLH0A0HYM2EY" TargetMode="External"/><Relationship Id="rId5" Type="http://schemas.openxmlformats.org/officeDocument/2006/relationships/hyperlink" Target="https://d18rn0p25nwr6d.cloudfront.net/CIK-0001639438/c3dcc773-c245-4065-bbee-8cc0c9323365.pdf" TargetMode="External"/><Relationship Id="rId4" Type="http://schemas.openxmlformats.org/officeDocument/2006/relationships/hyperlink" Target="https://publishedresearch.cambridgeassociates.com/wp-content/uploads/2023/02/CLOs-vs-Hedge-Funds.pdf"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18rn0p25nwr6d.cloudfront.net/CIK-0000829224/676bc6dd-b0cc-497b-a7fa-df31bb380a6b.pdf" TargetMode="External"/><Relationship Id="rId2" Type="http://schemas.openxmlformats.org/officeDocument/2006/relationships/hyperlink" Target="https://d18rn0p25nwr6d.cloudfront.net/CIK-0001041061/34194e6d-73f4-478b-93ad-f5a4388a77da.html" TargetMode="External"/><Relationship Id="rId1" Type="http://schemas.openxmlformats.org/officeDocument/2006/relationships/hyperlink" Target="https://app.quotemedia.com/data/downloadFiling?webmasterId=101533&amp;ref=318892959&amp;type=HTML&amp;symbol=CMG&amp;cdn=0cc9eb8aef1768829625294bf8c6bf80&amp;companyName=Chipotle+Mexican+Grill+Inc.&amp;formType=10-K&amp;dateFiled=2025-02-05" TargetMode="External"/><Relationship Id="rId5" Type="http://schemas.openxmlformats.org/officeDocument/2006/relationships/hyperlink" Target="https://corporate.mcdonalds.com/content/dam/sites/corp/nfl/pdf/McD%20-%202024%20Annual%20Report%20to%20Shareholders.pdf" TargetMode="External"/><Relationship Id="rId4" Type="http://schemas.openxmlformats.org/officeDocument/2006/relationships/hyperlink" Target="https://d18rn0p25nwr6d.cloudfront.net/CIK-0001620533/59621ea4-0bae-4d3c-8813-eebf854df4e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1D8A-2F58-164F-A6EA-A6D91E20FC5A}">
  <dimension ref="B2:XFD53"/>
  <sheetViews>
    <sheetView showGridLines="0" zoomScaleNormal="100" workbookViewId="0">
      <selection activeCell="F14" sqref="F14"/>
    </sheetView>
  </sheetViews>
  <sheetFormatPr baseColWidth="10" defaultRowHeight="16" x14ac:dyDescent="0.2"/>
  <cols>
    <col min="1" max="1" width="2.5" customWidth="1"/>
    <col min="2" max="2" width="43.83203125" customWidth="1"/>
    <col min="3" max="13" width="12.5" customWidth="1"/>
  </cols>
  <sheetData>
    <row r="2" spans="2:13" x14ac:dyDescent="0.2">
      <c r="B2" s="62" t="e" vm="1">
        <v>#VALUE!</v>
      </c>
      <c r="E2" s="8"/>
      <c r="F2" s="72" t="s">
        <v>128</v>
      </c>
      <c r="G2" s="85">
        <f ca="1">Schedules!M2</f>
        <v>0.19577150469938065</v>
      </c>
      <c r="H2" s="6"/>
      <c r="I2" s="1" t="s">
        <v>153</v>
      </c>
      <c r="J2" s="6"/>
      <c r="K2" s="6"/>
      <c r="L2" s="6"/>
      <c r="M2" s="6"/>
    </row>
    <row r="3" spans="2:13" x14ac:dyDescent="0.2">
      <c r="B3" s="188" t="s">
        <v>384</v>
      </c>
      <c r="C3" s="62"/>
      <c r="E3" s="8"/>
      <c r="F3" s="72" t="s">
        <v>131</v>
      </c>
      <c r="G3" s="95">
        <f ca="1">Schedules!M3</f>
        <v>2.4447868432913102</v>
      </c>
      <c r="H3" s="6"/>
      <c r="I3" s="6"/>
      <c r="J3" s="6"/>
      <c r="K3" s="6"/>
      <c r="L3" s="6"/>
      <c r="M3" s="6"/>
    </row>
    <row r="4" spans="2:13" x14ac:dyDescent="0.2">
      <c r="B4" s="62"/>
      <c r="C4" s="62"/>
      <c r="E4" s="8"/>
      <c r="F4" s="72"/>
      <c r="G4" s="95"/>
      <c r="H4" s="6"/>
      <c r="I4" s="6"/>
      <c r="J4" s="6"/>
      <c r="K4" s="6"/>
      <c r="L4" s="6"/>
      <c r="M4" s="6"/>
    </row>
    <row r="5" spans="2:13" s="4" customFormat="1" x14ac:dyDescent="0.2">
      <c r="B5" s="88" t="s">
        <v>204</v>
      </c>
      <c r="C5" s="88"/>
    </row>
    <row r="6" spans="2:13" ht="16" customHeight="1" x14ac:dyDescent="0.2">
      <c r="B6" s="7"/>
      <c r="C6" s="8"/>
    </row>
    <row r="7" spans="2:13" s="56" customFormat="1" ht="16" customHeight="1" x14ac:dyDescent="0.2">
      <c r="B7" s="46" t="s">
        <v>379</v>
      </c>
      <c r="C7" s="152">
        <v>5</v>
      </c>
    </row>
    <row r="8" spans="2:13" ht="16" customHeight="1" x14ac:dyDescent="0.2">
      <c r="B8" s="7"/>
      <c r="C8" s="8"/>
    </row>
    <row r="9" spans="2:13" ht="16" customHeight="1" x14ac:dyDescent="0.2">
      <c r="B9" s="8" t="s">
        <v>286</v>
      </c>
      <c r="C9" s="169" cm="1">
        <f t="array" aca="1" ref="C9" ca="1">_FV(B2,"price",TRUE)</f>
        <v>46.62</v>
      </c>
      <c r="D9" s="17"/>
    </row>
    <row r="10" spans="2:13" ht="16" customHeight="1" x14ac:dyDescent="0.2">
      <c r="B10" s="8" t="s">
        <v>287</v>
      </c>
      <c r="C10" s="8" cm="1">
        <f t="array" aca="1" ref="C10" ca="1">_FV(B2,"Shares outstanding",TRUE)/1000000</f>
        <v>115.9543</v>
      </c>
    </row>
    <row r="11" spans="2:13" ht="16" customHeight="1" x14ac:dyDescent="0.2">
      <c r="B11" s="8"/>
      <c r="C11" s="8"/>
      <c r="E11" s="159"/>
      <c r="F11" s="159"/>
      <c r="G11" s="159"/>
      <c r="H11" s="159"/>
      <c r="I11" s="159"/>
    </row>
    <row r="12" spans="2:13" s="154" customFormat="1" ht="16" customHeight="1" x14ac:dyDescent="0.2">
      <c r="B12" s="153" t="s">
        <v>288</v>
      </c>
      <c r="C12" s="151">
        <v>0.15</v>
      </c>
      <c r="D12" s="149"/>
      <c r="E12" s="155"/>
      <c r="F12" s="155"/>
      <c r="G12" s="155"/>
      <c r="H12" s="155"/>
      <c r="I12" s="155"/>
    </row>
    <row r="13" spans="2:13" ht="16" customHeight="1" x14ac:dyDescent="0.2">
      <c r="B13" s="8"/>
      <c r="C13" s="8"/>
      <c r="D13" s="17"/>
      <c r="E13" s="122"/>
      <c r="F13" s="122"/>
      <c r="G13" s="122"/>
      <c r="H13" s="122"/>
      <c r="I13" s="122"/>
    </row>
    <row r="14" spans="2:13" ht="16" customHeight="1" x14ac:dyDescent="0.2">
      <c r="B14" s="8" t="s">
        <v>289</v>
      </c>
      <c r="C14" s="39">
        <f ca="1">C20/C16</f>
        <v>6.0691471845435689</v>
      </c>
    </row>
    <row r="15" spans="2:13" ht="16" customHeight="1" x14ac:dyDescent="0.2">
      <c r="B15" s="8"/>
      <c r="C15" s="8"/>
    </row>
    <row r="16" spans="2:13" s="56" customFormat="1" ht="16" customHeight="1" x14ac:dyDescent="0.2">
      <c r="B16" s="96" t="s">
        <v>290</v>
      </c>
      <c r="C16" s="46">
        <f>'Financial Statements'!E84</f>
        <v>964</v>
      </c>
      <c r="F16" s="189"/>
    </row>
    <row r="17" spans="2:6" ht="16" customHeight="1" x14ac:dyDescent="0.2">
      <c r="B17" s="92" t="s">
        <v>16</v>
      </c>
      <c r="C17" s="92">
        <f ca="1">C9*C10*(1+C12)</f>
        <v>6216.6578859000001</v>
      </c>
    </row>
    <row r="18" spans="2:6" s="72" customFormat="1" ht="16" customHeight="1" x14ac:dyDescent="0.2">
      <c r="B18" s="97" t="s">
        <v>120</v>
      </c>
      <c r="C18" s="86">
        <v>0</v>
      </c>
    </row>
    <row r="19" spans="2:6" s="72" customFormat="1" ht="16" customHeight="1" x14ac:dyDescent="0.2">
      <c r="B19" s="97" t="s">
        <v>173</v>
      </c>
      <c r="C19" s="86">
        <f>'Financial Statements'!L10</f>
        <v>366</v>
      </c>
    </row>
    <row r="20" spans="2:6" ht="16" customHeight="1" x14ac:dyDescent="0.2">
      <c r="B20" s="93" t="s">
        <v>291</v>
      </c>
      <c r="C20" s="93">
        <f ca="1">C17-C19</f>
        <v>5850.6578859000001</v>
      </c>
    </row>
    <row r="21" spans="2:6" ht="16" customHeight="1" x14ac:dyDescent="0.2">
      <c r="B21" s="8"/>
      <c r="C21" s="8"/>
    </row>
    <row r="22" spans="2:6" s="56" customFormat="1" ht="16" customHeight="1" x14ac:dyDescent="0.2">
      <c r="B22" s="46" t="s">
        <v>292</v>
      </c>
      <c r="C22" s="46">
        <v>100</v>
      </c>
    </row>
    <row r="23" spans="2:6" ht="16" customHeight="1" x14ac:dyDescent="0.2">
      <c r="B23" s="8"/>
      <c r="C23" s="46"/>
    </row>
    <row r="24" spans="2:6" s="56" customFormat="1" ht="16" customHeight="1" x14ac:dyDescent="0.2">
      <c r="B24" s="46" t="s">
        <v>293</v>
      </c>
      <c r="C24" s="47">
        <v>0.01</v>
      </c>
    </row>
    <row r="25" spans="2:6" ht="16" customHeight="1" x14ac:dyDescent="0.2">
      <c r="B25" s="8" t="s">
        <v>294</v>
      </c>
      <c r="C25" s="8">
        <f ca="1">C24*C17</f>
        <v>62.166578859000005</v>
      </c>
    </row>
    <row r="26" spans="2:6" ht="16" customHeight="1" x14ac:dyDescent="0.2">
      <c r="B26" s="8"/>
      <c r="C26" s="8"/>
    </row>
    <row r="27" spans="2:6" s="56" customFormat="1" ht="16" customHeight="1" x14ac:dyDescent="0.2">
      <c r="B27" s="46" t="s">
        <v>295</v>
      </c>
      <c r="C27" s="48">
        <v>0.21</v>
      </c>
    </row>
    <row r="28" spans="2:6" ht="16" customHeight="1" x14ac:dyDescent="0.2">
      <c r="B28" s="8"/>
      <c r="C28" s="8"/>
    </row>
    <row r="29" spans="2:6" s="56" customFormat="1" ht="16" customHeight="1" x14ac:dyDescent="0.2">
      <c r="B29" s="46" t="s">
        <v>296</v>
      </c>
      <c r="C29" s="48">
        <v>0.9</v>
      </c>
    </row>
    <row r="30" spans="2:6" s="56" customFormat="1" ht="16" customHeight="1" x14ac:dyDescent="0.2">
      <c r="B30" s="46" t="s">
        <v>6</v>
      </c>
      <c r="C30" s="48">
        <f>1-C29</f>
        <v>9.9999999999999978E-2</v>
      </c>
      <c r="F30" s="56" t="s">
        <v>180</v>
      </c>
    </row>
    <row r="31" spans="2:6" s="56" customFormat="1" ht="16" customHeight="1" x14ac:dyDescent="0.2">
      <c r="B31" s="46" t="s">
        <v>123</v>
      </c>
      <c r="C31" s="48">
        <v>0.1</v>
      </c>
    </row>
    <row r="32" spans="2:6" ht="16" customHeight="1" x14ac:dyDescent="0.2">
      <c r="B32" s="46"/>
      <c r="C32" s="48"/>
    </row>
    <row r="33" spans="2:13 16384:16384" x14ac:dyDescent="0.2">
      <c r="B33" s="8"/>
      <c r="C33" s="8"/>
    </row>
    <row r="34" spans="2:13 16384:16384" s="4" customFormat="1" x14ac:dyDescent="0.2">
      <c r="B34" s="88" t="s">
        <v>160</v>
      </c>
      <c r="C34" s="88"/>
    </row>
    <row r="35" spans="2:13 16384:16384" x14ac:dyDescent="0.2">
      <c r="B35" s="8"/>
      <c r="C35" s="8"/>
    </row>
    <row r="36" spans="2:13 16384:16384" s="101" customFormat="1" x14ac:dyDescent="0.2">
      <c r="B36" s="99" t="s">
        <v>161</v>
      </c>
      <c r="C36" s="100" t="s">
        <v>162</v>
      </c>
      <c r="D36" s="100" t="s">
        <v>166</v>
      </c>
      <c r="E36" s="100" t="s">
        <v>164</v>
      </c>
      <c r="F36" s="100" t="s">
        <v>165</v>
      </c>
      <c r="G36" s="100" t="s">
        <v>163</v>
      </c>
      <c r="H36" s="100" t="s">
        <v>172</v>
      </c>
      <c r="I36" s="100" t="s">
        <v>168</v>
      </c>
      <c r="J36" s="100" t="s">
        <v>169</v>
      </c>
      <c r="K36" s="100" t="s">
        <v>167</v>
      </c>
      <c r="L36" s="100" t="s">
        <v>170</v>
      </c>
      <c r="M36" s="100" t="s">
        <v>171</v>
      </c>
      <c r="XFD36" s="7"/>
    </row>
    <row r="37" spans="2:13 16384:16384" x14ac:dyDescent="0.2">
      <c r="B37" s="90" t="s">
        <v>11</v>
      </c>
      <c r="C37" s="49">
        <v>0.5</v>
      </c>
      <c r="D37" s="8">
        <f>C37*C16</f>
        <v>482</v>
      </c>
      <c r="E37" s="85">
        <f>'Loan Terms Derivation'!C8</f>
        <v>6.2399999999999997E-2</v>
      </c>
      <c r="F37" s="89"/>
      <c r="G37" s="89"/>
      <c r="I37" s="89"/>
      <c r="J37" s="8">
        <f>D37*2</f>
        <v>964</v>
      </c>
      <c r="K37" s="85">
        <f>'Loan Terms Derivation'!C10</f>
        <v>7.4999999999999997E-3</v>
      </c>
      <c r="L37" s="89"/>
      <c r="M37" s="89"/>
      <c r="XFD37" s="8"/>
    </row>
    <row r="38" spans="2:13 16384:16384" x14ac:dyDescent="0.2">
      <c r="B38" s="90" t="s">
        <v>297</v>
      </c>
      <c r="C38" s="49">
        <v>1</v>
      </c>
      <c r="D38" s="8">
        <f>C38*C16</f>
        <v>964</v>
      </c>
      <c r="E38" s="85">
        <f>'Loan Terms Derivation'!C16</f>
        <v>6.6000000000000003E-2</v>
      </c>
      <c r="F38" s="89"/>
      <c r="G38" s="89"/>
      <c r="H38" s="86">
        <f>'Loan Terms Derivation'!C20</f>
        <v>192.8</v>
      </c>
      <c r="I38" s="8">
        <f>D38*1.5</f>
        <v>1446</v>
      </c>
      <c r="J38" s="89"/>
      <c r="K38" s="89"/>
      <c r="L38" s="89"/>
      <c r="M38" s="48">
        <v>0.01</v>
      </c>
      <c r="XFD38" s="8"/>
    </row>
    <row r="39" spans="2:13 16384:16384" x14ac:dyDescent="0.2">
      <c r="B39" s="90" t="s">
        <v>298</v>
      </c>
      <c r="C39" s="49">
        <v>2</v>
      </c>
      <c r="D39" s="8">
        <f>C39*C16</f>
        <v>1928</v>
      </c>
      <c r="E39" s="85">
        <f>'Loan Terms Derivation'!C26</f>
        <v>6.6000000000000003E-2</v>
      </c>
      <c r="F39" s="89"/>
      <c r="G39" s="85">
        <f>'Loan Terms Derivation'!C28</f>
        <v>0.02</v>
      </c>
      <c r="H39" s="89"/>
      <c r="I39" s="8">
        <f>D39*1.5</f>
        <v>2892</v>
      </c>
      <c r="J39" s="89"/>
      <c r="K39" s="89"/>
      <c r="L39" s="89"/>
      <c r="M39" s="48">
        <v>0.01</v>
      </c>
      <c r="XFD39" s="8"/>
    </row>
    <row r="40" spans="2:13 16384:16384" x14ac:dyDescent="0.2">
      <c r="B40" s="90" t="s">
        <v>8</v>
      </c>
      <c r="C40" s="49">
        <v>1</v>
      </c>
      <c r="D40" s="8">
        <f>C40*C16</f>
        <v>964</v>
      </c>
      <c r="E40" s="85">
        <f>'Loan Terms Derivation'!C34</f>
        <v>9.6000000000000002E-2</v>
      </c>
      <c r="F40" s="89"/>
      <c r="G40" s="89"/>
      <c r="H40" s="89"/>
      <c r="I40" s="8">
        <f>D40*1.5</f>
        <v>1446</v>
      </c>
      <c r="J40" s="89"/>
      <c r="K40" s="89"/>
      <c r="L40" s="46">
        <v>2</v>
      </c>
      <c r="M40" s="48">
        <v>0.02</v>
      </c>
      <c r="XFD40" s="8"/>
    </row>
    <row r="41" spans="2:13 16384:16384" x14ac:dyDescent="0.2">
      <c r="B41" s="90" t="s">
        <v>149</v>
      </c>
      <c r="C41" s="49">
        <v>0.5</v>
      </c>
      <c r="D41" s="8">
        <f>C41*C16</f>
        <v>482</v>
      </c>
      <c r="E41" s="85">
        <f>'Loan Terms Derivation'!C41</f>
        <v>0.11489999999999999</v>
      </c>
      <c r="F41" s="85">
        <f>'Loan Terms Derivation'!C40</f>
        <v>0.02</v>
      </c>
      <c r="G41" s="89"/>
      <c r="H41" s="89"/>
      <c r="I41" s="8">
        <f>D41*3</f>
        <v>1446</v>
      </c>
      <c r="J41" s="89"/>
      <c r="K41" s="89"/>
      <c r="L41" s="89"/>
      <c r="M41" s="48">
        <v>0.02</v>
      </c>
      <c r="XFD41" s="8"/>
    </row>
    <row r="42" spans="2:13 16384:16384" x14ac:dyDescent="0.2">
      <c r="B42" s="8"/>
      <c r="C42" s="8"/>
    </row>
    <row r="43" spans="2:13 16384:16384" x14ac:dyDescent="0.2">
      <c r="B43" s="46" t="s">
        <v>299</v>
      </c>
      <c r="C43" s="46">
        <v>10</v>
      </c>
    </row>
    <row r="44" spans="2:13 16384:16384" x14ac:dyDescent="0.2">
      <c r="B44" s="8"/>
      <c r="C44" s="9"/>
    </row>
    <row r="45" spans="2:13 16384:16384" x14ac:dyDescent="0.2">
      <c r="B45" s="8" t="s">
        <v>300</v>
      </c>
      <c r="C45" s="10" t="s">
        <v>2</v>
      </c>
    </row>
    <row r="46" spans="2:13 16384:16384" x14ac:dyDescent="0.2">
      <c r="B46" s="8"/>
      <c r="C46" s="8"/>
    </row>
    <row r="47" spans="2:13 16384:16384" s="4" customFormat="1" x14ac:dyDescent="0.2">
      <c r="B47" s="88" t="s">
        <v>205</v>
      </c>
      <c r="C47" s="91"/>
    </row>
    <row r="48" spans="2:13 16384:16384" x14ac:dyDescent="0.2">
      <c r="B48" s="8"/>
      <c r="C48" s="8"/>
    </row>
    <row r="49" spans="2:3" x14ac:dyDescent="0.2">
      <c r="B49" s="46" t="s">
        <v>301</v>
      </c>
      <c r="C49" s="48">
        <v>0.9</v>
      </c>
    </row>
    <row r="50" spans="2:3" x14ac:dyDescent="0.2">
      <c r="B50" s="46" t="s">
        <v>302</v>
      </c>
      <c r="C50" s="48">
        <v>0.1</v>
      </c>
    </row>
    <row r="51" spans="2:3" x14ac:dyDescent="0.2">
      <c r="B51" s="46" t="s">
        <v>303</v>
      </c>
      <c r="C51" s="46">
        <v>10</v>
      </c>
    </row>
    <row r="52" spans="2:3" x14ac:dyDescent="0.2">
      <c r="B52" s="8"/>
      <c r="C52" s="8"/>
    </row>
    <row r="53" spans="2:3" x14ac:dyDescent="0.2">
      <c r="B53" s="8"/>
      <c r="C53" s="8"/>
    </row>
  </sheetData>
  <dataValidations count="1">
    <dataValidation type="list" allowBlank="1" showInputMessage="1" showErrorMessage="1" sqref="C45" xr:uid="{8146F782-70D4-E34E-BC5B-D8CD1DF89A38}">
      <formula1>"Yes,No"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EED60-D0BD-8541-86F3-4FDD7E5A6190}">
  <dimension ref="B2:F26"/>
  <sheetViews>
    <sheetView showGridLines="0" tabSelected="1" workbookViewId="0">
      <selection activeCell="K21" sqref="K21"/>
    </sheetView>
  </sheetViews>
  <sheetFormatPr baseColWidth="10" defaultRowHeight="16" x14ac:dyDescent="0.2"/>
  <cols>
    <col min="1" max="1" width="2.5" customWidth="1"/>
    <col min="2" max="2" width="33.33203125" customWidth="1"/>
  </cols>
  <sheetData>
    <row r="2" spans="2:5" x14ac:dyDescent="0.2">
      <c r="B2" s="1" t="s">
        <v>385</v>
      </c>
    </row>
    <row r="3" spans="2:5" s="2" customFormat="1" x14ac:dyDescent="0.2">
      <c r="B3" s="2" t="s">
        <v>0</v>
      </c>
    </row>
    <row r="5" spans="2:5" s="4" customFormat="1" x14ac:dyDescent="0.2">
      <c r="B5" s="5" t="s">
        <v>3</v>
      </c>
      <c r="C5" s="5"/>
      <c r="D5" s="5"/>
    </row>
    <row r="7" spans="2:5" x14ac:dyDescent="0.2">
      <c r="B7" s="13" t="s">
        <v>285</v>
      </c>
      <c r="C7" s="33">
        <f ca="1">C18-SUM(C11:C15)</f>
        <v>1516.6644647590001</v>
      </c>
    </row>
    <row r="9" spans="2:5" x14ac:dyDescent="0.2">
      <c r="B9" s="1" t="s">
        <v>4</v>
      </c>
      <c r="C9" s="1"/>
      <c r="D9" s="1"/>
    </row>
    <row r="10" spans="2:5" x14ac:dyDescent="0.2">
      <c r="B10" s="1"/>
      <c r="C10" s="1"/>
      <c r="D10" s="1"/>
    </row>
    <row r="11" spans="2:5" s="98" customFormat="1" x14ac:dyDescent="0.2">
      <c r="B11" s="98" t="s">
        <v>11</v>
      </c>
      <c r="C11" s="67">
        <f>Assumptions!D37</f>
        <v>482</v>
      </c>
      <c r="E11" s="193"/>
    </row>
    <row r="12" spans="2:5" s="98" customFormat="1" x14ac:dyDescent="0.2">
      <c r="B12" s="98" t="s">
        <v>10</v>
      </c>
      <c r="C12" s="67">
        <f>Assumptions!D38</f>
        <v>964</v>
      </c>
      <c r="E12" s="193"/>
    </row>
    <row r="13" spans="2:5" s="98" customFormat="1" x14ac:dyDescent="0.2">
      <c r="B13" s="98" t="s">
        <v>9</v>
      </c>
      <c r="C13" s="67">
        <f>Assumptions!D39</f>
        <v>1928</v>
      </c>
      <c r="E13" s="193"/>
    </row>
    <row r="14" spans="2:5" s="98" customFormat="1" x14ac:dyDescent="0.2">
      <c r="B14" s="98" t="s">
        <v>8</v>
      </c>
      <c r="C14" s="67">
        <f>Assumptions!D40</f>
        <v>964</v>
      </c>
      <c r="E14" s="193"/>
    </row>
    <row r="15" spans="2:5" s="98" customFormat="1" x14ac:dyDescent="0.2">
      <c r="B15" s="98" t="s">
        <v>7</v>
      </c>
      <c r="C15" s="67">
        <f>Assumptions!D41</f>
        <v>482</v>
      </c>
      <c r="E15" s="193"/>
    </row>
    <row r="16" spans="2:5" s="98" customFormat="1" x14ac:dyDescent="0.2">
      <c r="B16" s="98" t="s">
        <v>5</v>
      </c>
      <c r="C16" s="67">
        <f ca="1">'Sources &amp; Uses'!C7*Assumptions!C29</f>
        <v>1364.9980182831002</v>
      </c>
      <c r="E16"/>
    </row>
    <row r="17" spans="2:6" s="98" customFormat="1" x14ac:dyDescent="0.2">
      <c r="B17" s="98" t="s">
        <v>6</v>
      </c>
      <c r="C17" s="67">
        <f ca="1">'Sources &amp; Uses'!C7*Assumptions!C30</f>
        <v>151.66644647589999</v>
      </c>
      <c r="E17"/>
      <c r="F17" s="194"/>
    </row>
    <row r="18" spans="2:6" x14ac:dyDescent="0.2">
      <c r="B18" s="11" t="s">
        <v>283</v>
      </c>
      <c r="C18" s="15">
        <f ca="1">C26</f>
        <v>6336.6644647590001</v>
      </c>
      <c r="D18" s="1"/>
    </row>
    <row r="20" spans="2:6" x14ac:dyDescent="0.2">
      <c r="B20" s="1" t="s">
        <v>12</v>
      </c>
      <c r="D20" s="1"/>
    </row>
    <row r="21" spans="2:6" x14ac:dyDescent="0.2">
      <c r="B21" s="1"/>
      <c r="D21" s="1"/>
    </row>
    <row r="22" spans="2:6" s="98" customFormat="1" x14ac:dyDescent="0.2">
      <c r="B22" s="98" t="s">
        <v>13</v>
      </c>
      <c r="C22" s="67">
        <v>0</v>
      </c>
    </row>
    <row r="23" spans="2:6" s="98" customFormat="1" x14ac:dyDescent="0.2">
      <c r="B23" s="98" t="s">
        <v>14</v>
      </c>
      <c r="C23" s="67">
        <f ca="1">Assumptions!C25</f>
        <v>62.166578859000005</v>
      </c>
    </row>
    <row r="24" spans="2:6" s="98" customFormat="1" x14ac:dyDescent="0.2">
      <c r="B24" s="98" t="s">
        <v>15</v>
      </c>
      <c r="C24" s="67">
        <f>Assumptions!M38*Assumptions!D38+Assumptions!M39*Assumptions!D39+Assumptions!M41*Assumptions!D40+Assumptions!M40*Assumptions!D41</f>
        <v>57.84</v>
      </c>
    </row>
    <row r="25" spans="2:6" s="98" customFormat="1" x14ac:dyDescent="0.2">
      <c r="B25" s="98" t="s">
        <v>16</v>
      </c>
      <c r="C25" s="67">
        <f ca="1">Assumptions!C17</f>
        <v>6216.6578859000001</v>
      </c>
    </row>
    <row r="26" spans="2:6" x14ac:dyDescent="0.2">
      <c r="B26" s="11" t="s">
        <v>284</v>
      </c>
      <c r="C26" s="15">
        <f ca="1">SUM(C22:C25)</f>
        <v>6336.6644647590001</v>
      </c>
      <c r="D2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8D9A0-EC19-D543-ABDC-E5E446E0B718}">
  <dimension ref="A2:T117"/>
  <sheetViews>
    <sheetView showGridLines="0" zoomScaleNormal="80" workbookViewId="0">
      <pane xSplit="2" ySplit="4" topLeftCell="C82" activePane="bottomRight" state="frozen"/>
      <selection pane="topRight" activeCell="C1" sqref="C1"/>
      <selection pane="bottomLeft" activeCell="A3" sqref="A3"/>
      <selection pane="bottomRight" activeCell="A82" sqref="A82"/>
    </sheetView>
  </sheetViews>
  <sheetFormatPr baseColWidth="10" defaultRowHeight="16" x14ac:dyDescent="0.2"/>
  <cols>
    <col min="1" max="1" width="2.5" customWidth="1"/>
    <col min="2" max="2" width="38.1640625" customWidth="1"/>
  </cols>
  <sheetData>
    <row r="2" spans="2:14" x14ac:dyDescent="0.2">
      <c r="B2" s="1" t="s">
        <v>385</v>
      </c>
    </row>
    <row r="3" spans="2:14" x14ac:dyDescent="0.2">
      <c r="B3" s="2" t="s">
        <v>0</v>
      </c>
    </row>
    <row r="4" spans="2:14" x14ac:dyDescent="0.2">
      <c r="C4" s="59">
        <v>2022</v>
      </c>
      <c r="D4" s="59">
        <v>2023</v>
      </c>
      <c r="E4" s="59">
        <v>2024</v>
      </c>
      <c r="F4" s="3">
        <v>2025</v>
      </c>
      <c r="G4" s="3">
        <v>2026</v>
      </c>
      <c r="H4" s="3">
        <v>2027</v>
      </c>
      <c r="I4" s="3">
        <v>2028</v>
      </c>
      <c r="J4" s="3">
        <v>2029</v>
      </c>
    </row>
    <row r="6" spans="2:14" s="4" customFormat="1" x14ac:dyDescent="0.2">
      <c r="B6" s="5" t="s">
        <v>23</v>
      </c>
      <c r="C6" s="5"/>
      <c r="D6" s="5"/>
    </row>
    <row r="7" spans="2:14" x14ac:dyDescent="0.2">
      <c r="B7" s="1"/>
      <c r="C7" s="1"/>
      <c r="D7" s="1"/>
    </row>
    <row r="8" spans="2:14" x14ac:dyDescent="0.2">
      <c r="M8" s="21" t="s">
        <v>30</v>
      </c>
    </row>
    <row r="9" spans="2:14" x14ac:dyDescent="0.2">
      <c r="B9" s="20" t="s">
        <v>24</v>
      </c>
      <c r="C9" s="20"/>
      <c r="D9" s="20"/>
      <c r="L9" s="106" t="s">
        <v>28</v>
      </c>
      <c r="M9" s="22" t="s">
        <v>27</v>
      </c>
      <c r="N9" s="22" t="s">
        <v>29</v>
      </c>
    </row>
    <row r="10" spans="2:14" x14ac:dyDescent="0.2">
      <c r="B10" s="24" t="s">
        <v>25</v>
      </c>
      <c r="C10" s="51">
        <v>39</v>
      </c>
      <c r="D10" s="51">
        <v>332</v>
      </c>
      <c r="E10" s="33">
        <f>N10</f>
        <v>100</v>
      </c>
      <c r="F10" s="63">
        <f ca="1">Schedules!F208</f>
        <v>100</v>
      </c>
      <c r="G10" s="63">
        <f ca="1">Schedules!G208</f>
        <v>100</v>
      </c>
      <c r="H10" s="63">
        <f ca="1">Schedules!H208</f>
        <v>100</v>
      </c>
      <c r="I10" s="63">
        <f ca="1">Schedules!I208</f>
        <v>100</v>
      </c>
      <c r="J10" s="63">
        <f ca="1">Schedules!J208</f>
        <v>100</v>
      </c>
      <c r="L10" s="51">
        <v>366</v>
      </c>
      <c r="M10" s="14">
        <f>Assumptions!C22-L10</f>
        <v>-266</v>
      </c>
      <c r="N10" s="14">
        <f>M10+L10</f>
        <v>100</v>
      </c>
    </row>
    <row r="11" spans="2:14" x14ac:dyDescent="0.2">
      <c r="B11" s="24" t="s">
        <v>26</v>
      </c>
      <c r="C11" s="51">
        <v>8</v>
      </c>
      <c r="D11" s="51">
        <v>12</v>
      </c>
      <c r="E11" s="33">
        <f>N11</f>
        <v>13</v>
      </c>
      <c r="F11" s="63">
        <f>Schedules!F76</f>
        <v>16.517049531559106</v>
      </c>
      <c r="G11" s="63">
        <f>Schedules!G76</f>
        <v>20.560878899630474</v>
      </c>
      <c r="H11" s="63">
        <f>Schedules!H76</f>
        <v>24.967798580680075</v>
      </c>
      <c r="I11" s="63">
        <f>Schedules!I76</f>
        <v>29.682685606267025</v>
      </c>
      <c r="J11" s="63">
        <f>Schedules!J76</f>
        <v>34.977418933229906</v>
      </c>
      <c r="L11" s="51">
        <v>13</v>
      </c>
      <c r="M11" s="53">
        <v>0</v>
      </c>
      <c r="N11" s="14">
        <f>M11+L11</f>
        <v>13</v>
      </c>
    </row>
    <row r="12" spans="2:14" x14ac:dyDescent="0.2">
      <c r="B12" s="24" t="s">
        <v>31</v>
      </c>
      <c r="C12" s="51">
        <v>5</v>
      </c>
      <c r="D12" s="51">
        <v>6</v>
      </c>
      <c r="E12" s="33">
        <f>N12</f>
        <v>8</v>
      </c>
      <c r="F12" s="63">
        <f>Schedules!F77</f>
        <v>9.7129724025769786</v>
      </c>
      <c r="G12" s="63">
        <f>Schedules!G77</f>
        <v>11.860202881486595</v>
      </c>
      <c r="H12" s="63">
        <f>Schedules!H77</f>
        <v>14.135370263257068</v>
      </c>
      <c r="I12" s="63">
        <f>Schedules!I77</f>
        <v>16.502493761752131</v>
      </c>
      <c r="J12" s="63">
        <f>Schedules!J77</f>
        <v>19.10704514783647</v>
      </c>
      <c r="L12" s="51">
        <v>8</v>
      </c>
      <c r="M12" s="53">
        <v>0</v>
      </c>
      <c r="N12" s="14">
        <f>M12+L12</f>
        <v>8</v>
      </c>
    </row>
    <row r="13" spans="2:14" x14ac:dyDescent="0.2">
      <c r="B13" s="24" t="s">
        <v>32</v>
      </c>
      <c r="C13" s="51">
        <v>6</v>
      </c>
      <c r="D13" s="51">
        <v>5</v>
      </c>
      <c r="E13" s="33">
        <f>N13</f>
        <v>7</v>
      </c>
      <c r="F13" s="14">
        <f>$E$13</f>
        <v>7</v>
      </c>
      <c r="G13" s="14">
        <f>$E$13</f>
        <v>7</v>
      </c>
      <c r="H13" s="14">
        <f>$E$13</f>
        <v>7</v>
      </c>
      <c r="I13" s="14">
        <f>$E$13</f>
        <v>7</v>
      </c>
      <c r="J13" s="14">
        <f>$E$13</f>
        <v>7</v>
      </c>
      <c r="L13" s="51">
        <v>7</v>
      </c>
      <c r="M13" s="53">
        <v>0</v>
      </c>
      <c r="N13" s="14">
        <f>M13+L13</f>
        <v>7</v>
      </c>
    </row>
    <row r="14" spans="2:14" x14ac:dyDescent="0.2">
      <c r="B14" s="11" t="s">
        <v>278</v>
      </c>
      <c r="C14" s="15">
        <f>SUM(C10:C13)</f>
        <v>58</v>
      </c>
      <c r="D14" s="15">
        <f>SUM(D10:D13)</f>
        <v>355</v>
      </c>
      <c r="E14" s="15">
        <f>N14</f>
        <v>128</v>
      </c>
      <c r="F14" s="15">
        <f ca="1">SUM(F10:F13)</f>
        <v>133.23002193413609</v>
      </c>
      <c r="G14" s="15">
        <f ca="1">SUM(G10:G13)</f>
        <v>139.42108178111707</v>
      </c>
      <c r="H14" s="15">
        <f ca="1">SUM(H10:H13)</f>
        <v>146.10316884393714</v>
      </c>
      <c r="I14" s="15">
        <f ca="1">SUM(I10:I13)</f>
        <v>153.18517936801916</v>
      </c>
      <c r="J14" s="15">
        <f ca="1">SUM(J10:J13)</f>
        <v>161.08446408106636</v>
      </c>
      <c r="L14" s="52">
        <f>SUM(L10:L13)</f>
        <v>394</v>
      </c>
      <c r="M14" s="12"/>
      <c r="N14" s="15">
        <f>SUM(N10:N13)</f>
        <v>128</v>
      </c>
    </row>
    <row r="15" spans="2:14" x14ac:dyDescent="0.2">
      <c r="C15" s="58"/>
      <c r="D15" s="58"/>
      <c r="E15" s="58"/>
      <c r="L15" s="58"/>
    </row>
    <row r="16" spans="2:14" x14ac:dyDescent="0.2">
      <c r="B16" s="24" t="s">
        <v>33</v>
      </c>
      <c r="C16" s="51">
        <v>243</v>
      </c>
      <c r="D16" s="51">
        <v>331</v>
      </c>
      <c r="E16" s="33">
        <f t="shared" ref="E16:E22" ca="1" si="0">N16</f>
        <v>970.42844379560779</v>
      </c>
      <c r="F16" s="63">
        <f ca="1">Schedules!F120</f>
        <v>943.22984584900746</v>
      </c>
      <c r="G16" s="63">
        <f ca="1">Schedules!G120</f>
        <v>953.28503097577641</v>
      </c>
      <c r="H16" s="63">
        <f ca="1">Schedules!H120</f>
        <v>978.47736028633824</v>
      </c>
      <c r="I16" s="63">
        <f ca="1">Schedules!I120</f>
        <v>1016.5362621531236</v>
      </c>
      <c r="J16" s="63">
        <f ca="1">Schedules!J120</f>
        <v>1065.531750692699</v>
      </c>
      <c r="L16" s="51">
        <v>373</v>
      </c>
      <c r="M16" s="63">
        <f ca="1">Schedules!C13</f>
        <v>597.42844379560779</v>
      </c>
      <c r="N16" s="14">
        <f t="shared" ref="N16:N22" ca="1" si="1">L16+M16</f>
        <v>970.42844379560779</v>
      </c>
    </row>
    <row r="17" spans="2:18" x14ac:dyDescent="0.2">
      <c r="B17" s="24" t="s">
        <v>34</v>
      </c>
      <c r="C17" s="51">
        <v>273</v>
      </c>
      <c r="D17" s="51">
        <v>289</v>
      </c>
      <c r="E17" s="33">
        <f t="shared" si="0"/>
        <v>322</v>
      </c>
      <c r="F17" s="14">
        <f>$E$17</f>
        <v>322</v>
      </c>
      <c r="G17" s="14">
        <f>$E$17</f>
        <v>322</v>
      </c>
      <c r="H17" s="14">
        <f>$E$17</f>
        <v>322</v>
      </c>
      <c r="I17" s="14">
        <f>$E$17</f>
        <v>322</v>
      </c>
      <c r="J17" s="14">
        <f>$E$17</f>
        <v>322</v>
      </c>
      <c r="L17" s="51">
        <v>322</v>
      </c>
      <c r="M17" s="53">
        <v>0</v>
      </c>
      <c r="N17" s="14">
        <f t="shared" si="1"/>
        <v>322</v>
      </c>
    </row>
    <row r="18" spans="2:18" x14ac:dyDescent="0.2">
      <c r="B18" s="24" t="s">
        <v>35</v>
      </c>
      <c r="C18" s="51">
        <v>2</v>
      </c>
      <c r="D18" s="51">
        <v>2</v>
      </c>
      <c r="E18" s="33">
        <f t="shared" ca="1" si="0"/>
        <v>5378.8559941604699</v>
      </c>
      <c r="F18" s="14">
        <f ca="1">$E$18</f>
        <v>5378.8559941604699</v>
      </c>
      <c r="G18" s="14">
        <f ca="1">$E$18</f>
        <v>5378.8559941604699</v>
      </c>
      <c r="H18" s="14">
        <f ca="1">$E$18</f>
        <v>5378.8559941604699</v>
      </c>
      <c r="I18" s="14">
        <f ca="1">$E$18</f>
        <v>5378.8559941604699</v>
      </c>
      <c r="J18" s="14">
        <f ca="1">$E$18</f>
        <v>5378.8559941604699</v>
      </c>
      <c r="L18" s="51">
        <v>2</v>
      </c>
      <c r="M18" s="63">
        <f ca="1">Schedules!C12</f>
        <v>5376.8559941604699</v>
      </c>
      <c r="N18" s="14">
        <f t="shared" ca="1" si="1"/>
        <v>5378.8559941604699</v>
      </c>
    </row>
    <row r="19" spans="2:18" x14ac:dyDescent="0.2">
      <c r="B19" s="24" t="s">
        <v>36</v>
      </c>
      <c r="C19" s="51">
        <v>1</v>
      </c>
      <c r="D19" s="51">
        <v>1</v>
      </c>
      <c r="E19" s="33">
        <f t="shared" si="0"/>
        <v>1</v>
      </c>
      <c r="F19" s="14">
        <f>$E$19</f>
        <v>1</v>
      </c>
      <c r="G19" s="14">
        <f>$E$19</f>
        <v>1</v>
      </c>
      <c r="H19" s="14">
        <f>$E$19</f>
        <v>1</v>
      </c>
      <c r="I19" s="14">
        <f>$E$19</f>
        <v>1</v>
      </c>
      <c r="J19" s="14">
        <f>$E$19</f>
        <v>1</v>
      </c>
      <c r="L19" s="51">
        <v>1</v>
      </c>
      <c r="M19" s="53">
        <v>0</v>
      </c>
      <c r="N19" s="14">
        <f t="shared" si="1"/>
        <v>1</v>
      </c>
    </row>
    <row r="20" spans="2:18" x14ac:dyDescent="0.2">
      <c r="B20" s="24" t="s">
        <v>37</v>
      </c>
      <c r="C20" s="51">
        <v>0</v>
      </c>
      <c r="D20" s="51">
        <v>0</v>
      </c>
      <c r="E20" s="33">
        <f t="shared" si="0"/>
        <v>72</v>
      </c>
      <c r="F20" s="63">
        <f ca="1">'Tax Schedules '!F24</f>
        <v>53.596913288465771</v>
      </c>
      <c r="G20" s="63">
        <f ca="1">'Tax Schedules '!G24</f>
        <v>146.11256728264229</v>
      </c>
      <c r="H20" s="63">
        <f ca="1">'Tax Schedules '!H24</f>
        <v>230.6909439887792</v>
      </c>
      <c r="I20" s="63">
        <f ca="1">'Tax Schedules '!I24</f>
        <v>331.25768773393327</v>
      </c>
      <c r="J20" s="63">
        <f ca="1">'Tax Schedules '!J24</f>
        <v>432.17185315872302</v>
      </c>
      <c r="L20" s="51">
        <v>72</v>
      </c>
      <c r="M20" s="53">
        <v>0</v>
      </c>
      <c r="N20" s="14">
        <f t="shared" si="1"/>
        <v>72</v>
      </c>
      <c r="P20" s="114"/>
      <c r="Q20" s="114"/>
      <c r="R20" s="114"/>
    </row>
    <row r="21" spans="2:18" x14ac:dyDescent="0.2">
      <c r="B21" s="24" t="s">
        <v>38</v>
      </c>
      <c r="C21" s="51">
        <v>6</v>
      </c>
      <c r="D21" s="51">
        <v>5</v>
      </c>
      <c r="E21" s="33">
        <f t="shared" si="0"/>
        <v>6</v>
      </c>
      <c r="F21" s="14">
        <f>$E$21</f>
        <v>6</v>
      </c>
      <c r="G21" s="14">
        <f>$E$21</f>
        <v>6</v>
      </c>
      <c r="H21" s="14">
        <f>$E$21</f>
        <v>6</v>
      </c>
      <c r="I21" s="14">
        <f>$E$21</f>
        <v>6</v>
      </c>
      <c r="J21" s="14">
        <f>$E$21</f>
        <v>6</v>
      </c>
      <c r="L21" s="51">
        <v>6</v>
      </c>
      <c r="M21" s="53">
        <v>0</v>
      </c>
      <c r="N21" s="14">
        <f t="shared" si="1"/>
        <v>6</v>
      </c>
    </row>
    <row r="22" spans="2:18" x14ac:dyDescent="0.2">
      <c r="B22" s="24" t="s">
        <v>15</v>
      </c>
      <c r="C22" s="51">
        <v>0</v>
      </c>
      <c r="D22" s="51">
        <v>0</v>
      </c>
      <c r="E22" s="33">
        <f t="shared" si="0"/>
        <v>57.84</v>
      </c>
      <c r="F22" s="63">
        <f>Schedules!F112</f>
        <v>52.056000000000004</v>
      </c>
      <c r="G22" s="63">
        <f>Schedules!G112</f>
        <v>46.272000000000006</v>
      </c>
      <c r="H22" s="63">
        <f>Schedules!H112</f>
        <v>40.488000000000007</v>
      </c>
      <c r="I22" s="63">
        <f>Schedules!I112</f>
        <v>34.704000000000008</v>
      </c>
      <c r="J22" s="63">
        <f>Schedules!J112</f>
        <v>28.920000000000009</v>
      </c>
      <c r="L22" s="51">
        <v>0</v>
      </c>
      <c r="M22" s="63">
        <f>'Sources &amp; Uses'!C24</f>
        <v>57.84</v>
      </c>
      <c r="N22" s="14">
        <f t="shared" si="1"/>
        <v>57.84</v>
      </c>
    </row>
    <row r="23" spans="2:18" x14ac:dyDescent="0.2">
      <c r="B23" s="11" t="s">
        <v>277</v>
      </c>
      <c r="C23" s="15">
        <f t="shared" ref="C23:J23" si="2">SUM(C16:C22)</f>
        <v>525</v>
      </c>
      <c r="D23" s="15">
        <f t="shared" si="2"/>
        <v>628</v>
      </c>
      <c r="E23" s="15">
        <f t="shared" ca="1" si="2"/>
        <v>6808.1244379560776</v>
      </c>
      <c r="F23" s="15">
        <f t="shared" ca="1" si="2"/>
        <v>6756.7387532979428</v>
      </c>
      <c r="G23" s="15">
        <f t="shared" ca="1" si="2"/>
        <v>6853.5255924188887</v>
      </c>
      <c r="H23" s="15">
        <f t="shared" ca="1" si="2"/>
        <v>6957.5122984355876</v>
      </c>
      <c r="I23" s="15">
        <f t="shared" ca="1" si="2"/>
        <v>7090.3539440475261</v>
      </c>
      <c r="J23" s="15">
        <f t="shared" ca="1" si="2"/>
        <v>7234.4795980118924</v>
      </c>
      <c r="L23" s="52">
        <f>SUM(L16:L22)</f>
        <v>776</v>
      </c>
      <c r="M23" s="12"/>
      <c r="N23" s="15">
        <f ca="1">SUM(N16:N22)</f>
        <v>6808.1244379560776</v>
      </c>
    </row>
    <row r="24" spans="2:18" x14ac:dyDescent="0.2">
      <c r="C24" s="58"/>
      <c r="D24" s="58"/>
      <c r="E24" s="58"/>
      <c r="L24" s="58"/>
    </row>
    <row r="25" spans="2:18" x14ac:dyDescent="0.2">
      <c r="B25" s="1" t="s">
        <v>276</v>
      </c>
      <c r="C25" s="50">
        <f t="shared" ref="C25:J25" si="3">C23+C14</f>
        <v>583</v>
      </c>
      <c r="D25" s="50">
        <f t="shared" si="3"/>
        <v>983</v>
      </c>
      <c r="E25" s="18">
        <f t="shared" ca="1" si="3"/>
        <v>6936.1244379560776</v>
      </c>
      <c r="F25" s="18">
        <f t="shared" ca="1" si="3"/>
        <v>6889.9687752320788</v>
      </c>
      <c r="G25" s="18">
        <f t="shared" ca="1" si="3"/>
        <v>6992.9466742000059</v>
      </c>
      <c r="H25" s="18">
        <f t="shared" ca="1" si="3"/>
        <v>7103.6154672795246</v>
      </c>
      <c r="I25" s="18">
        <f t="shared" ca="1" si="3"/>
        <v>7243.539123415545</v>
      </c>
      <c r="J25" s="18">
        <f t="shared" ca="1" si="3"/>
        <v>7395.5640620929589</v>
      </c>
      <c r="L25" s="50">
        <f>L23+L14</f>
        <v>1170</v>
      </c>
      <c r="M25" s="18">
        <f ca="1">SUM(M16:M22,M10:M13)</f>
        <v>5766.1244379560776</v>
      </c>
      <c r="N25" s="18">
        <f ca="1">N23+N14</f>
        <v>6936.1244379560776</v>
      </c>
    </row>
    <row r="26" spans="2:18" x14ac:dyDescent="0.2">
      <c r="C26" s="58"/>
      <c r="D26" s="58"/>
      <c r="E26" s="13"/>
      <c r="L26" s="58"/>
    </row>
    <row r="27" spans="2:18" x14ac:dyDescent="0.2">
      <c r="B27" s="20" t="s">
        <v>39</v>
      </c>
      <c r="C27" s="58"/>
      <c r="D27" s="58"/>
      <c r="E27" s="13"/>
      <c r="L27" s="58"/>
    </row>
    <row r="28" spans="2:18" x14ac:dyDescent="0.2">
      <c r="B28" s="24" t="s">
        <v>42</v>
      </c>
      <c r="C28" s="51">
        <v>14</v>
      </c>
      <c r="D28" s="51">
        <v>17</v>
      </c>
      <c r="E28" s="33">
        <f>N28</f>
        <v>26</v>
      </c>
      <c r="F28" s="63">
        <f>Schedules!F80</f>
        <v>31.567160308375179</v>
      </c>
      <c r="G28" s="63">
        <f>Schedules!G80</f>
        <v>38.545659364831437</v>
      </c>
      <c r="H28" s="63">
        <f>Schedules!H80</f>
        <v>45.939953355585466</v>
      </c>
      <c r="I28" s="63">
        <f>Schedules!I80</f>
        <v>53.633104725694423</v>
      </c>
      <c r="J28" s="63">
        <f>Schedules!J80</f>
        <v>62.097896730468527</v>
      </c>
      <c r="L28" s="51">
        <v>26</v>
      </c>
      <c r="M28" s="14">
        <v>0</v>
      </c>
      <c r="N28" s="14">
        <f>L28+M28</f>
        <v>26</v>
      </c>
    </row>
    <row r="29" spans="2:18" x14ac:dyDescent="0.2">
      <c r="B29" s="24" t="s">
        <v>41</v>
      </c>
      <c r="C29" s="51">
        <v>40</v>
      </c>
      <c r="D29" s="51">
        <v>59</v>
      </c>
      <c r="E29" s="33">
        <f>N29</f>
        <v>70</v>
      </c>
      <c r="F29" s="63">
        <f>Schedules!F81</f>
        <v>88.694959128065406</v>
      </c>
      <c r="G29" s="63">
        <f>Schedules!G81</f>
        <v>110.40993188010899</v>
      </c>
      <c r="H29" s="63">
        <f>Schedules!H81</f>
        <v>134.07466450953677</v>
      </c>
      <c r="I29" s="63">
        <f>Schedules!I81</f>
        <v>159.82984557220706</v>
      </c>
      <c r="J29" s="63">
        <f>Schedules!J81</f>
        <v>187.82535807987054</v>
      </c>
      <c r="L29" s="51">
        <v>70</v>
      </c>
      <c r="M29" s="14">
        <v>0</v>
      </c>
      <c r="N29" s="14">
        <f>L29+M29</f>
        <v>70</v>
      </c>
    </row>
    <row r="30" spans="2:18" x14ac:dyDescent="0.2">
      <c r="B30" s="24" t="s">
        <v>43</v>
      </c>
      <c r="C30" s="51">
        <v>30</v>
      </c>
      <c r="D30" s="51">
        <v>33</v>
      </c>
      <c r="E30" s="33">
        <f>N30</f>
        <v>37</v>
      </c>
      <c r="F30" s="14">
        <f>$E$30</f>
        <v>37</v>
      </c>
      <c r="G30" s="14">
        <f>$E$30</f>
        <v>37</v>
      </c>
      <c r="H30" s="14">
        <f>$E$30</f>
        <v>37</v>
      </c>
      <c r="I30" s="14">
        <f>$E$30</f>
        <v>37</v>
      </c>
      <c r="J30" s="14">
        <f>$E$30</f>
        <v>37</v>
      </c>
      <c r="L30" s="51">
        <v>37</v>
      </c>
      <c r="M30" s="14">
        <v>0</v>
      </c>
      <c r="N30" s="14">
        <f>L30+M30</f>
        <v>37</v>
      </c>
    </row>
    <row r="31" spans="2:18" x14ac:dyDescent="0.2">
      <c r="B31" s="11" t="s">
        <v>275</v>
      </c>
      <c r="C31" s="15">
        <f t="shared" ref="C31:J31" si="4">SUM(C28:C30)</f>
        <v>84</v>
      </c>
      <c r="D31" s="15">
        <f t="shared" si="4"/>
        <v>109</v>
      </c>
      <c r="E31" s="15">
        <f t="shared" si="4"/>
        <v>133</v>
      </c>
      <c r="F31" s="15">
        <f t="shared" si="4"/>
        <v>157.26211943644057</v>
      </c>
      <c r="G31" s="15">
        <f t="shared" si="4"/>
        <v>185.95559124494042</v>
      </c>
      <c r="H31" s="15">
        <f t="shared" si="4"/>
        <v>217.01461786512223</v>
      </c>
      <c r="I31" s="15">
        <f t="shared" si="4"/>
        <v>250.4629502979015</v>
      </c>
      <c r="J31" s="15">
        <f t="shared" si="4"/>
        <v>286.92325481033907</v>
      </c>
      <c r="L31" s="52">
        <f>SUM(L28:L30)</f>
        <v>133</v>
      </c>
      <c r="M31" s="12"/>
      <c r="N31" s="15">
        <f>SUM(N28:N30)</f>
        <v>133</v>
      </c>
    </row>
    <row r="32" spans="2:18" x14ac:dyDescent="0.2">
      <c r="C32" s="58"/>
      <c r="D32" s="58"/>
      <c r="E32" s="13"/>
      <c r="L32" s="58"/>
    </row>
    <row r="33" spans="1:20" x14ac:dyDescent="0.2">
      <c r="B33" s="24" t="s">
        <v>37</v>
      </c>
      <c r="C33" s="51">
        <v>0</v>
      </c>
      <c r="D33" s="51">
        <v>0</v>
      </c>
      <c r="E33" s="33">
        <f t="shared" ref="E33:E40" ca="1" si="5">N33</f>
        <v>125.45997319707763</v>
      </c>
      <c r="F33" s="67">
        <f ca="1">'Tax Schedules '!F25</f>
        <v>0</v>
      </c>
      <c r="G33" s="67">
        <f ca="1">'Tax Schedules '!G25</f>
        <v>0</v>
      </c>
      <c r="H33" s="67">
        <f ca="1">'Tax Schedules '!H25</f>
        <v>0</v>
      </c>
      <c r="I33" s="67">
        <f ca="1">'Tax Schedules '!I25</f>
        <v>0</v>
      </c>
      <c r="J33" s="67">
        <f ca="1">'Tax Schedules '!J25</f>
        <v>0</v>
      </c>
      <c r="L33" s="51">
        <v>0</v>
      </c>
      <c r="M33" s="14">
        <f ca="1">Schedules!C15</f>
        <v>125.45997319707763</v>
      </c>
      <c r="N33" s="14">
        <f t="shared" ref="N33:N40" ca="1" si="6">L33+M33</f>
        <v>125.45997319707763</v>
      </c>
    </row>
    <row r="34" spans="1:20" x14ac:dyDescent="0.2">
      <c r="B34" s="24" t="s">
        <v>43</v>
      </c>
      <c r="C34" s="51">
        <v>286</v>
      </c>
      <c r="D34" s="51">
        <v>304</v>
      </c>
      <c r="E34" s="33">
        <f t="shared" si="5"/>
        <v>341</v>
      </c>
      <c r="F34" s="14">
        <f>$E$34</f>
        <v>341</v>
      </c>
      <c r="G34" s="14">
        <f>$E$34</f>
        <v>341</v>
      </c>
      <c r="H34" s="14">
        <f>$E$34</f>
        <v>341</v>
      </c>
      <c r="I34" s="14">
        <f>$E$34</f>
        <v>341</v>
      </c>
      <c r="J34" s="14">
        <f>$E$34</f>
        <v>341</v>
      </c>
      <c r="L34" s="51">
        <v>341</v>
      </c>
      <c r="M34" s="14">
        <v>0</v>
      </c>
      <c r="N34" s="14">
        <f t="shared" si="6"/>
        <v>341</v>
      </c>
    </row>
    <row r="35" spans="1:20" x14ac:dyDescent="0.2">
      <c r="B35" s="24" t="s">
        <v>44</v>
      </c>
      <c r="C35" s="51">
        <v>0</v>
      </c>
      <c r="D35" s="51">
        <v>0</v>
      </c>
      <c r="E35" s="33">
        <f t="shared" si="5"/>
        <v>0</v>
      </c>
      <c r="F35" s="14">
        <f>$E$35</f>
        <v>0</v>
      </c>
      <c r="G35" s="14">
        <f>$E$35</f>
        <v>0</v>
      </c>
      <c r="H35" s="14">
        <f>$E$35</f>
        <v>0</v>
      </c>
      <c r="I35" s="14">
        <f>$E$35</f>
        <v>0</v>
      </c>
      <c r="J35" s="14">
        <f>$E$35</f>
        <v>0</v>
      </c>
      <c r="L35" s="51">
        <v>0</v>
      </c>
      <c r="M35" s="14">
        <v>0</v>
      </c>
      <c r="N35" s="14">
        <f t="shared" si="6"/>
        <v>0</v>
      </c>
    </row>
    <row r="36" spans="1:20" x14ac:dyDescent="0.2">
      <c r="B36" s="24" t="s">
        <v>11</v>
      </c>
      <c r="C36" s="51">
        <v>0</v>
      </c>
      <c r="D36" s="51">
        <v>0</v>
      </c>
      <c r="E36" s="67">
        <f t="shared" si="5"/>
        <v>482</v>
      </c>
      <c r="F36" s="67">
        <f ca="1">Schedules!F135</f>
        <v>964</v>
      </c>
      <c r="G36" s="67">
        <f ca="1">Schedules!G135</f>
        <v>964</v>
      </c>
      <c r="H36" s="67">
        <f ca="1">Schedules!H135</f>
        <v>964</v>
      </c>
      <c r="I36" s="67">
        <f ca="1">Schedules!I135</f>
        <v>964</v>
      </c>
      <c r="J36" s="67">
        <f ca="1">Schedules!J135</f>
        <v>964</v>
      </c>
      <c r="K36" s="14"/>
      <c r="L36" s="51">
        <v>0</v>
      </c>
      <c r="M36" s="63">
        <f>'Sources &amp; Uses'!C11</f>
        <v>482</v>
      </c>
      <c r="N36" s="14">
        <f t="shared" si="6"/>
        <v>482</v>
      </c>
    </row>
    <row r="37" spans="1:20" x14ac:dyDescent="0.2">
      <c r="B37" s="24" t="s">
        <v>10</v>
      </c>
      <c r="C37" s="51">
        <v>0</v>
      </c>
      <c r="D37" s="51">
        <v>0</v>
      </c>
      <c r="E37" s="67">
        <f t="shared" si="5"/>
        <v>964</v>
      </c>
      <c r="F37" s="67">
        <f ca="1">Schedules!F156</f>
        <v>861.57764398609675</v>
      </c>
      <c r="G37" s="67">
        <f ca="1">Schedules!G156</f>
        <v>668.77764398609679</v>
      </c>
      <c r="H37" s="67">
        <f ca="1">Schedules!H156</f>
        <v>475.97764398609678</v>
      </c>
      <c r="I37" s="67">
        <f ca="1">Schedules!I156</f>
        <v>283.17764398609677</v>
      </c>
      <c r="J37" s="67">
        <f ca="1">Schedules!J156</f>
        <v>90.377643986096757</v>
      </c>
      <c r="L37" s="51">
        <v>0</v>
      </c>
      <c r="M37" s="63">
        <f>'Sources &amp; Uses'!C12</f>
        <v>964</v>
      </c>
      <c r="N37" s="14">
        <f t="shared" si="6"/>
        <v>964</v>
      </c>
    </row>
    <row r="38" spans="1:20" x14ac:dyDescent="0.2">
      <c r="B38" s="24" t="s">
        <v>9</v>
      </c>
      <c r="C38" s="51">
        <v>0</v>
      </c>
      <c r="D38" s="51">
        <v>0</v>
      </c>
      <c r="E38" s="67">
        <f t="shared" si="5"/>
        <v>1928</v>
      </c>
      <c r="F38" s="67">
        <f ca="1">Schedules!F171</f>
        <v>1889.44</v>
      </c>
      <c r="G38" s="67">
        <f ca="1">Schedules!G171</f>
        <v>2391.2858163206347</v>
      </c>
      <c r="H38" s="67">
        <f ca="1">Schedules!H171</f>
        <v>2837.3547250796964</v>
      </c>
      <c r="I38" s="67">
        <f ca="1">Schedules!I171</f>
        <v>2835.2529054984061</v>
      </c>
      <c r="J38" s="67">
        <f ca="1">Schedules!J171</f>
        <v>2835.2949418900321</v>
      </c>
      <c r="L38" s="51">
        <v>0</v>
      </c>
      <c r="M38" s="63">
        <f>'Sources &amp; Uses'!C13</f>
        <v>1928</v>
      </c>
      <c r="N38" s="14">
        <f t="shared" si="6"/>
        <v>1928</v>
      </c>
    </row>
    <row r="39" spans="1:20" x14ac:dyDescent="0.2">
      <c r="B39" s="24" t="s">
        <v>8</v>
      </c>
      <c r="C39" s="51">
        <v>0</v>
      </c>
      <c r="D39" s="51">
        <v>0</v>
      </c>
      <c r="E39" s="67">
        <f t="shared" si="5"/>
        <v>964</v>
      </c>
      <c r="F39" s="67">
        <f ca="1">Schedules!F185</f>
        <v>964</v>
      </c>
      <c r="G39" s="67">
        <f ca="1">Schedules!G185</f>
        <v>964</v>
      </c>
      <c r="H39" s="67">
        <f ca="1">Schedules!H185</f>
        <v>964</v>
      </c>
      <c r="I39" s="67">
        <f ca="1">Schedules!I185</f>
        <v>1369.509490019856</v>
      </c>
      <c r="J39" s="67">
        <f ca="1">Schedules!J185</f>
        <v>1446</v>
      </c>
      <c r="L39" s="51">
        <v>0</v>
      </c>
      <c r="M39" s="63">
        <f>'Sources &amp; Uses'!C14</f>
        <v>964</v>
      </c>
      <c r="N39" s="14">
        <f t="shared" si="6"/>
        <v>964</v>
      </c>
    </row>
    <row r="40" spans="1:20" x14ac:dyDescent="0.2">
      <c r="B40" s="24" t="s">
        <v>7</v>
      </c>
      <c r="C40" s="51">
        <v>0</v>
      </c>
      <c r="D40" s="51">
        <v>0</v>
      </c>
      <c r="E40" s="67">
        <f t="shared" si="5"/>
        <v>482</v>
      </c>
      <c r="F40" s="67">
        <f ca="1">Schedules!F200</f>
        <v>491.64</v>
      </c>
      <c r="G40" s="67">
        <f ca="1">Schedules!G200</f>
        <v>501.47280000000001</v>
      </c>
      <c r="H40" s="67">
        <f ca="1">Schedules!H200</f>
        <v>511.50225599999999</v>
      </c>
      <c r="I40" s="67">
        <f ca="1">Schedules!I200</f>
        <v>521.73230111999999</v>
      </c>
      <c r="J40" s="67">
        <f ca="1">Schedules!J200</f>
        <v>789.82891185166432</v>
      </c>
      <c r="L40" s="51">
        <v>0</v>
      </c>
      <c r="M40" s="63">
        <f>'Sources &amp; Uses'!C15</f>
        <v>482</v>
      </c>
      <c r="N40" s="14">
        <f t="shared" si="6"/>
        <v>482</v>
      </c>
    </row>
    <row r="41" spans="1:20" x14ac:dyDescent="0.2">
      <c r="B41" s="11" t="s">
        <v>270</v>
      </c>
      <c r="C41" s="15">
        <f t="shared" ref="C41:J41" si="7">SUM(C33:C40)</f>
        <v>286</v>
      </c>
      <c r="D41" s="15">
        <f t="shared" si="7"/>
        <v>304</v>
      </c>
      <c r="E41" s="15">
        <f t="shared" ca="1" si="7"/>
        <v>5286.4599731970775</v>
      </c>
      <c r="F41" s="15">
        <f t="shared" ca="1" si="7"/>
        <v>5511.6576439860974</v>
      </c>
      <c r="G41" s="15">
        <f t="shared" ca="1" si="7"/>
        <v>5830.5362603067315</v>
      </c>
      <c r="H41" s="15">
        <f t="shared" ca="1" si="7"/>
        <v>6093.8346250657933</v>
      </c>
      <c r="I41" s="15">
        <f t="shared" ca="1" si="7"/>
        <v>6314.6723406243591</v>
      </c>
      <c r="J41" s="15">
        <f t="shared" ca="1" si="7"/>
        <v>6466.5014977277933</v>
      </c>
      <c r="L41" s="52">
        <f>SUM(L33:L40)</f>
        <v>341</v>
      </c>
      <c r="M41" s="15">
        <f ca="1">SUM(M33:M40)</f>
        <v>4945.4599731970775</v>
      </c>
      <c r="N41" s="15">
        <f ca="1">SUM(N33:N40)</f>
        <v>5286.4599731970775</v>
      </c>
    </row>
    <row r="42" spans="1:20" x14ac:dyDescent="0.2">
      <c r="C42" s="58"/>
      <c r="D42" s="58"/>
      <c r="E42" s="58"/>
      <c r="L42" s="58"/>
    </row>
    <row r="43" spans="1:20" x14ac:dyDescent="0.2">
      <c r="B43" s="25" t="s">
        <v>271</v>
      </c>
      <c r="C43" s="18">
        <f t="shared" ref="C43:J43" si="8">SUM(C41,C31)</f>
        <v>370</v>
      </c>
      <c r="D43" s="18">
        <f t="shared" si="8"/>
        <v>413</v>
      </c>
      <c r="E43" s="18">
        <f t="shared" ca="1" si="8"/>
        <v>5419.4599731970775</v>
      </c>
      <c r="F43" s="18">
        <f t="shared" ca="1" si="8"/>
        <v>5668.9197634225384</v>
      </c>
      <c r="G43" s="18">
        <f t="shared" ca="1" si="8"/>
        <v>6016.491851551672</v>
      </c>
      <c r="H43" s="18">
        <f t="shared" ca="1" si="8"/>
        <v>6310.8492429309154</v>
      </c>
      <c r="I43" s="18">
        <f t="shared" ca="1" si="8"/>
        <v>6565.1352909222605</v>
      </c>
      <c r="J43" s="18">
        <f t="shared" ca="1" si="8"/>
        <v>6753.4247525381325</v>
      </c>
      <c r="K43" s="1"/>
      <c r="L43" s="50">
        <f>SUM(L41,L31)</f>
        <v>474</v>
      </c>
      <c r="M43" s="18">
        <f ca="1">SUM(M41,M31)</f>
        <v>4945.4599731970775</v>
      </c>
      <c r="N43" s="18">
        <f ca="1">SUM(N41,N31)</f>
        <v>5419.4599731970775</v>
      </c>
    </row>
    <row r="44" spans="1:20" x14ac:dyDescent="0.2">
      <c r="C44" s="58"/>
      <c r="D44" s="58"/>
      <c r="E44" s="58"/>
      <c r="L44" s="58"/>
      <c r="Q44" s="114"/>
    </row>
    <row r="45" spans="1:20" x14ac:dyDescent="0.2">
      <c r="B45" s="24" t="s">
        <v>272</v>
      </c>
      <c r="C45" s="51">
        <v>662</v>
      </c>
      <c r="D45" s="51">
        <v>0</v>
      </c>
      <c r="E45" s="51">
        <v>0</v>
      </c>
      <c r="F45" s="33">
        <v>0</v>
      </c>
      <c r="G45" s="33">
        <v>0</v>
      </c>
      <c r="H45" s="33">
        <v>0</v>
      </c>
      <c r="I45" s="33">
        <v>0</v>
      </c>
      <c r="J45" s="33">
        <v>0</v>
      </c>
      <c r="L45" s="55">
        <v>0</v>
      </c>
      <c r="M45" s="54">
        <v>0</v>
      </c>
      <c r="N45" s="54">
        <v>0</v>
      </c>
    </row>
    <row r="46" spans="1:20" s="1" customFormat="1" x14ac:dyDescent="0.2">
      <c r="A46"/>
      <c r="B46" s="1" t="s">
        <v>273</v>
      </c>
      <c r="C46" s="50">
        <v>-449</v>
      </c>
      <c r="D46" s="50">
        <v>570</v>
      </c>
      <c r="E46" s="18">
        <f ca="1">N46</f>
        <v>1516.6644647590001</v>
      </c>
      <c r="F46" s="18">
        <f ca="1">E46+'Financial Statements'!F117</f>
        <v>1221.049011809542</v>
      </c>
      <c r="G46" s="18">
        <f ca="1">F46+'Financial Statements'!G117</f>
        <v>976.45482264833436</v>
      </c>
      <c r="H46" s="18">
        <f ca="1">G46+'Financial Statements'!H117</f>
        <v>792.76622434860997</v>
      </c>
      <c r="I46" s="18">
        <f ca="1">H46+'Financial Statements'!I117</f>
        <v>678.40383249328647</v>
      </c>
      <c r="J46" s="18">
        <f ca="1">I46+'Financial Statements'!J117</f>
        <v>642.13930955482738</v>
      </c>
      <c r="K46" s="18"/>
      <c r="L46" s="50">
        <v>696</v>
      </c>
      <c r="M46" s="18">
        <f ca="1">-L46+'Sources &amp; Uses'!C16+'Sources &amp; Uses'!C17</f>
        <v>820.66446475900023</v>
      </c>
      <c r="N46" s="18">
        <f ca="1">L46+M46</f>
        <v>1516.6644647590001</v>
      </c>
    </row>
    <row r="47" spans="1:20" x14ac:dyDescent="0.2">
      <c r="A47" s="1"/>
      <c r="C47" s="58"/>
      <c r="D47" s="58"/>
      <c r="E47" s="58"/>
      <c r="L47" s="58"/>
    </row>
    <row r="48" spans="1:20" s="1" customFormat="1" x14ac:dyDescent="0.2">
      <c r="A48"/>
      <c r="B48" s="1" t="s">
        <v>274</v>
      </c>
      <c r="C48" s="18">
        <f t="shared" ref="C48:J48" si="9">C46+C43+C45</f>
        <v>583</v>
      </c>
      <c r="D48" s="18">
        <f t="shared" si="9"/>
        <v>983</v>
      </c>
      <c r="E48" s="18">
        <f t="shared" ca="1" si="9"/>
        <v>6936.1244379560776</v>
      </c>
      <c r="F48" s="18">
        <f t="shared" ca="1" si="9"/>
        <v>6889.9687752320806</v>
      </c>
      <c r="G48" s="18">
        <f t="shared" ca="1" si="9"/>
        <v>6992.9466742000059</v>
      </c>
      <c r="H48" s="18">
        <f t="shared" ca="1" si="9"/>
        <v>7103.6154672795255</v>
      </c>
      <c r="I48" s="18">
        <f t="shared" ca="1" si="9"/>
        <v>7243.5391234155468</v>
      </c>
      <c r="J48" s="18">
        <f t="shared" ca="1" si="9"/>
        <v>7395.5640620929598</v>
      </c>
      <c r="L48" s="18">
        <f>L46+L43+L45</f>
        <v>1170</v>
      </c>
      <c r="N48" s="18">
        <f ca="1">N46+N43+N45</f>
        <v>6936.1244379560776</v>
      </c>
      <c r="Q48" s="115"/>
      <c r="R48" s="115"/>
      <c r="S48" s="115"/>
      <c r="T48" s="115"/>
    </row>
    <row r="49" spans="1:20" x14ac:dyDescent="0.2">
      <c r="A49" s="1"/>
      <c r="B49" s="16" t="s">
        <v>45</v>
      </c>
      <c r="C49" s="33">
        <f t="shared" ref="C49:J49" si="10">C48-C25</f>
        <v>0</v>
      </c>
      <c r="D49" s="33">
        <f t="shared" si="10"/>
        <v>0</v>
      </c>
      <c r="E49" s="33">
        <f t="shared" ca="1" si="10"/>
        <v>0</v>
      </c>
      <c r="F49" s="14">
        <f t="shared" ca="1" si="10"/>
        <v>0</v>
      </c>
      <c r="G49" s="14">
        <f t="shared" ca="1" si="10"/>
        <v>0</v>
      </c>
      <c r="H49" s="14">
        <f t="shared" ca="1" si="10"/>
        <v>0</v>
      </c>
      <c r="I49" s="14">
        <f t="shared" ca="1" si="10"/>
        <v>0</v>
      </c>
      <c r="J49" s="14">
        <f t="shared" ca="1" si="10"/>
        <v>0</v>
      </c>
      <c r="L49" s="14">
        <f>L48-L25</f>
        <v>0</v>
      </c>
      <c r="M49" s="37"/>
      <c r="N49" s="14">
        <f ca="1">N48-N25</f>
        <v>0</v>
      </c>
      <c r="P49" s="14"/>
      <c r="Q49" s="14"/>
      <c r="R49" s="14"/>
      <c r="S49" s="14"/>
      <c r="T49" s="14"/>
    </row>
    <row r="51" spans="1:20" s="4" customFormat="1" x14ac:dyDescent="0.2">
      <c r="B51" s="27" t="s">
        <v>51</v>
      </c>
      <c r="C51" s="27"/>
      <c r="D51" s="27"/>
      <c r="E51" s="26"/>
      <c r="F51" s="26"/>
      <c r="G51" s="26"/>
      <c r="H51" s="26"/>
      <c r="I51" s="26"/>
      <c r="J51" s="26"/>
    </row>
    <row r="52" spans="1:20" s="13" customFormat="1" x14ac:dyDescent="0.2">
      <c r="B52" s="19"/>
      <c r="C52" s="19"/>
      <c r="D52" s="19"/>
      <c r="E52" s="28"/>
      <c r="F52" s="28"/>
      <c r="G52" s="28"/>
      <c r="H52" s="28"/>
      <c r="I52" s="28"/>
      <c r="J52" s="28"/>
    </row>
    <row r="53" spans="1:20" s="13" customFormat="1" x14ac:dyDescent="0.2">
      <c r="B53" s="19" t="s">
        <v>52</v>
      </c>
      <c r="C53" s="19"/>
      <c r="D53" s="19"/>
      <c r="E53" s="14"/>
      <c r="F53" s="14">
        <f ca="1">'Financial Statements'!F117</f>
        <v>-295.61545294945813</v>
      </c>
      <c r="G53" s="14">
        <f ca="1">'Financial Statements'!G117</f>
        <v>-244.59418916120762</v>
      </c>
      <c r="H53" s="14">
        <f ca="1">'Financial Statements'!H117</f>
        <v>-183.68859829972445</v>
      </c>
      <c r="I53" s="14">
        <f ca="1">'Financial Statements'!I117</f>
        <v>-114.36239185532347</v>
      </c>
      <c r="J53" s="14">
        <f ca="1">'Financial Statements'!J117</f>
        <v>-36.264522938459145</v>
      </c>
    </row>
    <row r="54" spans="1:20" s="98" customFormat="1" x14ac:dyDescent="0.2">
      <c r="A54" s="13"/>
      <c r="B54" s="142" t="s">
        <v>54</v>
      </c>
      <c r="C54" s="142"/>
      <c r="D54" s="142"/>
      <c r="E54" s="67"/>
      <c r="F54" s="67">
        <f ca="1">-Schedules!F99</f>
        <v>211.09111094890193</v>
      </c>
      <c r="G54" s="67">
        <f ca="1">-Schedules!G99</f>
        <v>207.01132125691188</v>
      </c>
      <c r="H54" s="67">
        <f ca="1">-Schedules!H99</f>
        <v>208.51959902592722</v>
      </c>
      <c r="I54" s="67">
        <f ca="1">-Schedules!I99</f>
        <v>212.29844842251151</v>
      </c>
      <c r="J54" s="67">
        <f ca="1">-Schedules!J99</f>
        <v>218.00728370252932</v>
      </c>
    </row>
    <row r="55" spans="1:20" s="98" customFormat="1" x14ac:dyDescent="0.2">
      <c r="B55" s="142" t="s">
        <v>55</v>
      </c>
      <c r="C55" s="142"/>
      <c r="D55" s="142"/>
      <c r="E55" s="67"/>
      <c r="F55" s="67">
        <f>Schedules!F199</f>
        <v>9.64</v>
      </c>
      <c r="G55" s="67">
        <f ca="1">Schedules!G199</f>
        <v>9.8328000000000007</v>
      </c>
      <c r="H55" s="67">
        <f ca="1">Schedules!H199</f>
        <v>10.029456</v>
      </c>
      <c r="I55" s="67">
        <f ca="1">Schedules!I199</f>
        <v>10.23004512</v>
      </c>
      <c r="J55" s="67">
        <f ca="1">Schedules!J199</f>
        <v>10.434646022400001</v>
      </c>
      <c r="L55" s="67"/>
    </row>
    <row r="56" spans="1:20" s="13" customFormat="1" x14ac:dyDescent="0.2">
      <c r="A56" s="98"/>
      <c r="B56" s="19" t="s">
        <v>56</v>
      </c>
      <c r="C56" s="19"/>
      <c r="D56" s="19"/>
      <c r="E56" s="14"/>
      <c r="F56" s="14">
        <f>'Financial Statements'!F28-'Financial Statements'!E28</f>
        <v>5.5671603083751791</v>
      </c>
      <c r="G56" s="14">
        <f>'Financial Statements'!G28-'Financial Statements'!F28</f>
        <v>6.9784990564562577</v>
      </c>
      <c r="H56" s="14">
        <f>'Financial Statements'!H28-'Financial Statements'!G28</f>
        <v>7.3942939907540293</v>
      </c>
      <c r="I56" s="14">
        <f>'Financial Statements'!I28-'Financial Statements'!H28</f>
        <v>7.6931513701089571</v>
      </c>
      <c r="J56" s="14">
        <f>'Financial Statements'!J28-'Financial Statements'!I28</f>
        <v>8.4647920047741039</v>
      </c>
    </row>
    <row r="57" spans="1:20" s="13" customFormat="1" x14ac:dyDescent="0.2">
      <c r="B57" s="19" t="s">
        <v>57</v>
      </c>
      <c r="C57" s="19"/>
      <c r="D57" s="19"/>
      <c r="E57" s="14"/>
      <c r="F57" s="14">
        <f>'Financial Statements'!F29-'Financial Statements'!E29</f>
        <v>18.694959128065406</v>
      </c>
      <c r="G57" s="14">
        <f>'Financial Statements'!G29-'Financial Statements'!F29</f>
        <v>21.714972752043579</v>
      </c>
      <c r="H57" s="14">
        <f>'Financial Statements'!H29-'Financial Statements'!G29</f>
        <v>23.664732629427789</v>
      </c>
      <c r="I57" s="14">
        <f>'Financial Statements'!I29-'Financial Statements'!H29</f>
        <v>25.755181062670289</v>
      </c>
      <c r="J57" s="14">
        <f>'Financial Statements'!J29-'Financial Statements'!I29</f>
        <v>27.995512507663477</v>
      </c>
      <c r="M57" s="33"/>
    </row>
    <row r="58" spans="1:20" s="13" customFormat="1" x14ac:dyDescent="0.2">
      <c r="B58" s="19" t="s">
        <v>58</v>
      </c>
      <c r="C58" s="19"/>
      <c r="D58" s="19"/>
      <c r="E58" s="14"/>
      <c r="F58" s="14">
        <f>-('Financial Statements'!F12-'Financial Statements'!E12)</f>
        <v>-1.7129724025769786</v>
      </c>
      <c r="G58" s="14">
        <f>-('Financial Statements'!G12-'Financial Statements'!F12)</f>
        <v>-2.1472304789096164</v>
      </c>
      <c r="H58" s="14">
        <f>-('Financial Statements'!H12-'Financial Statements'!G12)</f>
        <v>-2.2751673817704727</v>
      </c>
      <c r="I58" s="14">
        <f>-('Financial Statements'!I12-'Financial Statements'!H12)</f>
        <v>-2.3671234984950633</v>
      </c>
      <c r="J58" s="14">
        <f>-('Financial Statements'!J12-'Financial Statements'!I12)</f>
        <v>-2.6045513860843386</v>
      </c>
      <c r="K58" s="14"/>
      <c r="L58" s="147"/>
      <c r="M58" s="33"/>
    </row>
    <row r="59" spans="1:20" s="13" customFormat="1" x14ac:dyDescent="0.2">
      <c r="B59" s="19" t="s">
        <v>59</v>
      </c>
      <c r="C59" s="19"/>
      <c r="D59" s="19"/>
      <c r="E59" s="14"/>
      <c r="F59" s="14">
        <f>-('Financial Statements'!F11-'Financial Statements'!E11)</f>
        <v>-3.5170495315591062</v>
      </c>
      <c r="G59" s="14">
        <f>-('Financial Statements'!G11-'Financial Statements'!F11)</f>
        <v>-4.0438293680713677</v>
      </c>
      <c r="H59" s="14">
        <f>-('Financial Statements'!H11-'Financial Statements'!G11)</f>
        <v>-4.406919681049601</v>
      </c>
      <c r="I59" s="14">
        <f>-('Financial Statements'!I11-'Financial Statements'!H11)</f>
        <v>-4.7148870255869504</v>
      </c>
      <c r="J59" s="14">
        <f>-('Financial Statements'!J11-'Financial Statements'!I11)</f>
        <v>-5.2947333269628807</v>
      </c>
      <c r="M59" s="33"/>
    </row>
    <row r="60" spans="1:20" s="98" customFormat="1" x14ac:dyDescent="0.2">
      <c r="A60" s="13"/>
      <c r="B60" s="142" t="s">
        <v>233</v>
      </c>
      <c r="C60" s="142"/>
      <c r="D60" s="142"/>
      <c r="E60" s="67"/>
      <c r="F60" s="67">
        <f ca="1">-'Tax Schedules '!F22</f>
        <v>-107.0568864855434</v>
      </c>
      <c r="G60" s="67">
        <f ca="1">-'Tax Schedules '!G22</f>
        <v>-92.515653994176517</v>
      </c>
      <c r="H60" s="67">
        <f ca="1">-'Tax Schedules '!H22</f>
        <v>-84.578376706136908</v>
      </c>
      <c r="I60" s="67">
        <f ca="1">-'Tax Schedules '!I22</f>
        <v>-100.56674374515407</v>
      </c>
      <c r="J60" s="67">
        <f ca="1">-'Tax Schedules '!J22</f>
        <v>-100.91416542478976</v>
      </c>
      <c r="M60" s="67"/>
    </row>
    <row r="61" spans="1:20" s="13" customFormat="1" x14ac:dyDescent="0.2">
      <c r="A61" s="98"/>
      <c r="B61" s="30" t="s">
        <v>53</v>
      </c>
      <c r="C61" s="30"/>
      <c r="D61" s="30"/>
      <c r="E61" s="15"/>
      <c r="F61" s="15">
        <f ca="1">SUM(F53:F60)</f>
        <v>-162.90913098379511</v>
      </c>
      <c r="G61" s="15">
        <f ca="1">SUM(G53:G60)</f>
        <v>-97.763309936953405</v>
      </c>
      <c r="H61" s="15">
        <f ca="1">SUM(H53:H60)</f>
        <v>-25.340980422572386</v>
      </c>
      <c r="I61" s="15">
        <f ca="1">SUM(I53:I60)</f>
        <v>33.965679850731192</v>
      </c>
      <c r="J61" s="15">
        <f ca="1">SUM(J53:J60)</f>
        <v>119.82426116107078</v>
      </c>
    </row>
    <row r="62" spans="1:20" s="13" customFormat="1" x14ac:dyDescent="0.2">
      <c r="B62" s="19"/>
      <c r="C62" s="19"/>
      <c r="D62" s="19"/>
      <c r="E62" s="14"/>
      <c r="F62" s="14"/>
      <c r="G62" s="14"/>
      <c r="H62" s="14"/>
      <c r="I62" s="14"/>
      <c r="J62" s="14"/>
      <c r="M62" s="33"/>
    </row>
    <row r="63" spans="1:20" s="98" customFormat="1" x14ac:dyDescent="0.2">
      <c r="A63" s="13"/>
      <c r="B63" s="142" t="s">
        <v>60</v>
      </c>
      <c r="C63" s="142"/>
      <c r="D63" s="142"/>
      <c r="E63" s="67"/>
      <c r="F63" s="67">
        <f>-Schedules!F72</f>
        <v>-178.10851300230152</v>
      </c>
      <c r="G63" s="67">
        <f>-Schedules!G72</f>
        <v>-211.28250638368087</v>
      </c>
      <c r="H63" s="67">
        <f>-Schedules!H72</f>
        <v>-227.92792833648889</v>
      </c>
      <c r="I63" s="67">
        <f>-Schedules!I72</f>
        <v>-244.57335028929685</v>
      </c>
      <c r="J63" s="67">
        <f>-Schedules!J72</f>
        <v>-261.21877224210488</v>
      </c>
      <c r="M63" s="67"/>
    </row>
    <row r="64" spans="1:20" s="13" customFormat="1" x14ac:dyDescent="0.2">
      <c r="A64" s="98"/>
      <c r="B64" s="30" t="s">
        <v>61</v>
      </c>
      <c r="C64" s="30"/>
      <c r="D64" s="30"/>
      <c r="E64" s="15"/>
      <c r="F64" s="15">
        <f>SUM(F63)</f>
        <v>-178.10851300230152</v>
      </c>
      <c r="G64" s="15">
        <f>SUM(G63)</f>
        <v>-211.28250638368087</v>
      </c>
      <c r="H64" s="15">
        <f>SUM(H63)</f>
        <v>-227.92792833648889</v>
      </c>
      <c r="I64" s="15">
        <f>SUM(I63)</f>
        <v>-244.57335028929685</v>
      </c>
      <c r="J64" s="15">
        <f>SUM(J63)</f>
        <v>-261.21877224210488</v>
      </c>
      <c r="M64" s="33"/>
    </row>
    <row r="65" spans="1:13" s="13" customFormat="1" x14ac:dyDescent="0.2">
      <c r="B65" s="25"/>
      <c r="C65" s="25"/>
      <c r="D65" s="25"/>
      <c r="E65" s="18"/>
      <c r="F65" s="18"/>
      <c r="G65" s="18"/>
      <c r="H65" s="18"/>
      <c r="I65" s="18"/>
      <c r="J65" s="18"/>
    </row>
    <row r="66" spans="1:13" s="13" customFormat="1" x14ac:dyDescent="0.2">
      <c r="B66" s="25" t="s">
        <v>88</v>
      </c>
      <c r="C66" s="25"/>
      <c r="D66" s="25"/>
      <c r="E66" s="18"/>
      <c r="F66" s="18">
        <f ca="1">F64+F61</f>
        <v>-341.01764398609663</v>
      </c>
      <c r="G66" s="18">
        <f ca="1">G64+G61</f>
        <v>-309.04581632063429</v>
      </c>
      <c r="H66" s="18">
        <f ca="1">H64+H61</f>
        <v>-253.26890875906128</v>
      </c>
      <c r="I66" s="18">
        <f ca="1">I64+I61</f>
        <v>-210.60767043856566</v>
      </c>
      <c r="J66" s="18">
        <f ca="1">J64+J61</f>
        <v>-141.3945110810341</v>
      </c>
    </row>
    <row r="67" spans="1:13" s="13" customFormat="1" x14ac:dyDescent="0.2">
      <c r="B67" s="19"/>
      <c r="C67" s="19"/>
      <c r="D67" s="19"/>
      <c r="E67" s="14"/>
      <c r="F67" s="14"/>
      <c r="G67" s="14"/>
      <c r="H67" s="14"/>
      <c r="I67" s="14"/>
      <c r="J67" s="14"/>
    </row>
    <row r="68" spans="1:13" s="13" customFormat="1" x14ac:dyDescent="0.2">
      <c r="B68" s="19" t="s">
        <v>63</v>
      </c>
      <c r="C68" s="19"/>
      <c r="D68" s="19"/>
      <c r="E68" s="14"/>
      <c r="F68" s="14">
        <f ca="1">SUM(Schedules!F133:F134)</f>
        <v>482</v>
      </c>
      <c r="G68" s="14">
        <f ca="1">SUM(Schedules!G133:G134)</f>
        <v>0</v>
      </c>
      <c r="H68" s="14">
        <f ca="1">SUM(Schedules!H133:H134)</f>
        <v>0</v>
      </c>
      <c r="I68" s="14">
        <f ca="1">SUM(Schedules!I133:I134)</f>
        <v>0</v>
      </c>
      <c r="J68" s="14">
        <f ca="1">SUM(Schedules!J133:J134)</f>
        <v>0</v>
      </c>
    </row>
    <row r="69" spans="1:13" s="13" customFormat="1" x14ac:dyDescent="0.2">
      <c r="B69" s="19" t="s">
        <v>64</v>
      </c>
      <c r="C69" s="19"/>
      <c r="D69" s="19"/>
      <c r="E69" s="14"/>
      <c r="F69" s="14">
        <f ca="1">SUM(Schedules!F153:F154)</f>
        <v>90.3776439860967</v>
      </c>
      <c r="G69" s="14">
        <f ca="1">SUM(Schedules!G153:G154)</f>
        <v>0</v>
      </c>
      <c r="H69" s="14">
        <f ca="1">SUM(Schedules!H153:H154)</f>
        <v>0</v>
      </c>
      <c r="I69" s="14">
        <f ca="1">SUM(Schedules!I153:I154)</f>
        <v>0</v>
      </c>
      <c r="J69" s="14">
        <f ca="1">SUM(Schedules!J153:J154)</f>
        <v>0</v>
      </c>
      <c r="M69" s="33"/>
    </row>
    <row r="70" spans="1:13" s="13" customFormat="1" x14ac:dyDescent="0.2">
      <c r="B70" s="19" t="s">
        <v>65</v>
      </c>
      <c r="C70" s="19"/>
      <c r="D70" s="19"/>
      <c r="E70" s="14"/>
      <c r="F70" s="14">
        <f ca="1">SUM(Schedules!F168:F169)</f>
        <v>0</v>
      </c>
      <c r="G70" s="14">
        <f ca="1">SUM(Schedules!G168:G169)</f>
        <v>539.63461632063434</v>
      </c>
      <c r="H70" s="14">
        <f ca="1">SUM(Schedules!H168:H169)</f>
        <v>493.89462508547399</v>
      </c>
      <c r="I70" s="14">
        <f ca="1">SUM(Schedules!I168:I169)</f>
        <v>54.645274920303564</v>
      </c>
      <c r="J70" s="14">
        <f ca="1">SUM(Schedules!J168:J169)</f>
        <v>56.747094501593892</v>
      </c>
    </row>
    <row r="71" spans="1:13" s="13" customFormat="1" x14ac:dyDescent="0.2">
      <c r="B71" s="19" t="s">
        <v>66</v>
      </c>
      <c r="C71" s="19"/>
      <c r="D71" s="19"/>
      <c r="E71" s="14"/>
      <c r="F71" s="14">
        <f ca="1">SUM(Schedules!F183:F184)</f>
        <v>0</v>
      </c>
      <c r="G71" s="14">
        <f ca="1">SUM(Schedules!G183:G184)</f>
        <v>0</v>
      </c>
      <c r="H71" s="14">
        <f ca="1">SUM(Schedules!H183:H184)</f>
        <v>0</v>
      </c>
      <c r="I71" s="14">
        <f ca="1">SUM(Schedules!I183:I184)</f>
        <v>405.509490019856</v>
      </c>
      <c r="J71" s="14">
        <f ca="1">SUM(Schedules!J183:J184)</f>
        <v>76.490509980143997</v>
      </c>
    </row>
    <row r="72" spans="1:13" s="13" customFormat="1" x14ac:dyDescent="0.2">
      <c r="B72" s="19" t="s">
        <v>67</v>
      </c>
      <c r="C72" s="19"/>
      <c r="D72" s="19"/>
      <c r="E72" s="14"/>
      <c r="F72" s="14">
        <f ca="1">SUM(Schedules!F197:F198)</f>
        <v>0</v>
      </c>
      <c r="G72" s="14">
        <f ca="1">SUM(Schedules!G197:G198)</f>
        <v>0</v>
      </c>
      <c r="H72" s="14">
        <f ca="1">SUM(Schedules!H197:H198)</f>
        <v>0</v>
      </c>
      <c r="I72" s="14">
        <f ca="1">SUM(Schedules!I197:I198)</f>
        <v>0</v>
      </c>
      <c r="J72" s="14">
        <f ca="1">SUM(Schedules!J197:J198)</f>
        <v>257.66196470926434</v>
      </c>
      <c r="M72" s="33"/>
    </row>
    <row r="73" spans="1:13" s="98" customFormat="1" x14ac:dyDescent="0.2">
      <c r="A73" s="13"/>
      <c r="B73" s="142" t="s">
        <v>68</v>
      </c>
      <c r="C73" s="142"/>
      <c r="D73" s="142"/>
      <c r="E73" s="67"/>
      <c r="F73" s="67">
        <f>Schedules!F155</f>
        <v>-192.8</v>
      </c>
      <c r="G73" s="67">
        <f>Schedules!G155</f>
        <v>-192.8</v>
      </c>
      <c r="H73" s="67">
        <f>Schedules!H155</f>
        <v>-192.8</v>
      </c>
      <c r="I73" s="67">
        <f>Schedules!I155</f>
        <v>-192.8</v>
      </c>
      <c r="J73" s="67">
        <f>Schedules!J155</f>
        <v>-192.8</v>
      </c>
    </row>
    <row r="74" spans="1:13" s="98" customFormat="1" x14ac:dyDescent="0.2">
      <c r="B74" s="142" t="s">
        <v>69</v>
      </c>
      <c r="C74" s="142"/>
      <c r="D74" s="142"/>
      <c r="E74" s="67"/>
      <c r="F74" s="67">
        <f>Schedules!F170</f>
        <v>-38.56</v>
      </c>
      <c r="G74" s="67">
        <f ca="1">Schedules!G170</f>
        <v>-37.788800000000002</v>
      </c>
      <c r="H74" s="67">
        <f ca="1">Schedules!H170</f>
        <v>-47.825716326412696</v>
      </c>
      <c r="I74" s="67">
        <f ca="1">Schedules!I170</f>
        <v>-56.747094501593928</v>
      </c>
      <c r="J74" s="67">
        <f ca="1">Schedules!J170</f>
        <v>-56.705058109968121</v>
      </c>
    </row>
    <row r="75" spans="1:13" s="13" customFormat="1" x14ac:dyDescent="0.2">
      <c r="A75" s="98"/>
      <c r="B75" s="30" t="s">
        <v>70</v>
      </c>
      <c r="C75" s="30"/>
      <c r="D75" s="30"/>
      <c r="E75" s="23"/>
      <c r="F75" s="15">
        <f ca="1">SUM(F68:F74)</f>
        <v>341.01764398609669</v>
      </c>
      <c r="G75" s="15">
        <f ca="1">SUM(G68:G74)</f>
        <v>309.04581632063434</v>
      </c>
      <c r="H75" s="15">
        <f ca="1">SUM(H68:H74)</f>
        <v>253.26890875906128</v>
      </c>
      <c r="I75" s="15">
        <f ca="1">SUM(I68:I74)</f>
        <v>210.60767043856563</v>
      </c>
      <c r="J75" s="15">
        <f ca="1">SUM(J68:J74)</f>
        <v>141.3945110810341</v>
      </c>
    </row>
    <row r="76" spans="1:13" s="13" customFormat="1" x14ac:dyDescent="0.2">
      <c r="B76" s="19"/>
      <c r="C76" s="19"/>
      <c r="D76" s="19"/>
      <c r="E76" s="14"/>
      <c r="F76" s="14"/>
      <c r="G76" s="14"/>
      <c r="H76" s="14"/>
      <c r="I76" s="14"/>
      <c r="J76" s="14"/>
    </row>
    <row r="77" spans="1:13" s="13" customFormat="1" x14ac:dyDescent="0.2">
      <c r="B77" s="29" t="s">
        <v>71</v>
      </c>
      <c r="C77" s="29"/>
      <c r="D77" s="29"/>
      <c r="E77" s="14"/>
      <c r="F77" s="18">
        <f ca="1">SUM(F75,F64,F61)</f>
        <v>0</v>
      </c>
      <c r="G77" s="18">
        <f ca="1">SUM(G75,G64,G61)</f>
        <v>0</v>
      </c>
      <c r="H77" s="18">
        <f ca="1">SUM(H75,H64,H61)</f>
        <v>0</v>
      </c>
      <c r="I77" s="18">
        <f ca="1">SUM(I75,I64,I61)</f>
        <v>0</v>
      </c>
      <c r="J77" s="18">
        <f ca="1">SUM(J75,J64,J61)</f>
        <v>0</v>
      </c>
      <c r="L77" s="33"/>
    </row>
    <row r="78" spans="1:13" s="13" customFormat="1" x14ac:dyDescent="0.2">
      <c r="B78" s="19"/>
      <c r="C78" s="19"/>
      <c r="D78" s="19"/>
      <c r="E78" s="14"/>
      <c r="F78" s="14"/>
      <c r="G78" s="14"/>
      <c r="H78" s="14"/>
      <c r="I78" s="14"/>
      <c r="J78" s="14"/>
    </row>
    <row r="79" spans="1:13" s="13" customFormat="1" x14ac:dyDescent="0.2">
      <c r="B79" s="19" t="s">
        <v>72</v>
      </c>
      <c r="C79" s="19"/>
      <c r="D79" s="19"/>
      <c r="E79" s="14"/>
      <c r="F79" s="14">
        <f>'Financial Statements'!N10</f>
        <v>100</v>
      </c>
      <c r="G79" s="14">
        <f ca="1">F80</f>
        <v>100</v>
      </c>
      <c r="H79" s="14">
        <f ca="1">G80</f>
        <v>100</v>
      </c>
      <c r="I79" s="14">
        <f ca="1">H80</f>
        <v>100</v>
      </c>
      <c r="J79" s="14">
        <f ca="1">I80</f>
        <v>100</v>
      </c>
    </row>
    <row r="80" spans="1:13" s="13" customFormat="1" x14ac:dyDescent="0.2">
      <c r="B80" s="19" t="s">
        <v>73</v>
      </c>
      <c r="C80" s="19"/>
      <c r="D80" s="19"/>
      <c r="E80" s="14"/>
      <c r="F80" s="14">
        <f ca="1">F79+F77</f>
        <v>100</v>
      </c>
      <c r="G80" s="14">
        <f ca="1">G79+G77</f>
        <v>100</v>
      </c>
      <c r="H80" s="14">
        <f ca="1">H79+H77</f>
        <v>100</v>
      </c>
      <c r="I80" s="14">
        <f ca="1">I79+I77</f>
        <v>100</v>
      </c>
      <c r="J80" s="14">
        <f ca="1">J79+J77</f>
        <v>100</v>
      </c>
    </row>
    <row r="81" spans="1:10" x14ac:dyDescent="0.2">
      <c r="A81" s="13"/>
    </row>
    <row r="82" spans="1:10" s="4" customFormat="1" x14ac:dyDescent="0.2">
      <c r="B82" s="5" t="s">
        <v>18</v>
      </c>
      <c r="C82" s="5"/>
      <c r="D82" s="5"/>
    </row>
    <row r="84" spans="1:10" x14ac:dyDescent="0.2">
      <c r="B84" s="1" t="s">
        <v>1</v>
      </c>
      <c r="C84" s="50">
        <v>564</v>
      </c>
      <c r="D84" s="50">
        <v>729</v>
      </c>
      <c r="E84" s="50">
        <v>964</v>
      </c>
      <c r="F84" s="139">
        <f>Schedules!F31</f>
        <v>1221.4562942779291</v>
      </c>
      <c r="G84" s="139">
        <f>Schedules!G31</f>
        <v>1520.5024904632151</v>
      </c>
      <c r="H84" s="139">
        <f>Schedules!H31</f>
        <v>1846.3996655313347</v>
      </c>
      <c r="I84" s="139">
        <f>Schedules!I31</f>
        <v>2201.0853018801085</v>
      </c>
      <c r="J84" s="139">
        <f>Schedules!J31</f>
        <v>2586.6235026999311</v>
      </c>
    </row>
    <row r="85" spans="1:10" x14ac:dyDescent="0.2">
      <c r="B85" s="13" t="s">
        <v>178</v>
      </c>
      <c r="C85" s="50"/>
      <c r="D85" s="50"/>
      <c r="E85" s="50"/>
      <c r="F85" s="18"/>
      <c r="G85" s="18"/>
      <c r="H85" s="18"/>
      <c r="I85" s="18"/>
      <c r="J85" s="18"/>
    </row>
    <row r="86" spans="1:10" x14ac:dyDescent="0.2">
      <c r="B86" s="78" t="s">
        <v>133</v>
      </c>
      <c r="C86" s="51">
        <f>-Schedules!C39</f>
        <v>-180</v>
      </c>
      <c r="D86" s="51">
        <f>-Schedules!D39</f>
        <v>-213</v>
      </c>
      <c r="E86" s="51">
        <f>-Schedules!E39</f>
        <v>-285</v>
      </c>
      <c r="F86" s="67">
        <f>-Schedules!F39</f>
        <v>-369.27602486766693</v>
      </c>
      <c r="G86" s="67">
        <f>-Schedules!G39</f>
        <v>-459.68498268009569</v>
      </c>
      <c r="H86" s="67">
        <f>-Schedules!H39</f>
        <v>-558.21164621159812</v>
      </c>
      <c r="I86" s="67">
        <f>-Schedules!I39</f>
        <v>-665.44176363955069</v>
      </c>
      <c r="J86" s="67">
        <f>-Schedules!J39</f>
        <v>-781.99936369476939</v>
      </c>
    </row>
    <row r="87" spans="1:10" x14ac:dyDescent="0.2">
      <c r="B87" s="78" t="s">
        <v>134</v>
      </c>
      <c r="C87" s="51">
        <f>-Schedules!C40</f>
        <v>-158</v>
      </c>
      <c r="D87" s="51">
        <f>-Schedules!D40</f>
        <v>-187</v>
      </c>
      <c r="E87" s="51">
        <f>-Schedules!E40</f>
        <v>-247</v>
      </c>
      <c r="F87" s="67">
        <f>-Schedules!F40</f>
        <v>-267.45406026030105</v>
      </c>
      <c r="G87" s="67">
        <f>-Schedules!G40</f>
        <v>-317.08018310006133</v>
      </c>
      <c r="H87" s="67">
        <f>-Schedules!H40</f>
        <v>-366.70630593982156</v>
      </c>
      <c r="I87" s="67">
        <f>-Schedules!I40</f>
        <v>-416.33242877958185</v>
      </c>
      <c r="J87" s="67">
        <f>-Schedules!J40</f>
        <v>-465.95855161934213</v>
      </c>
    </row>
    <row r="88" spans="1:10" x14ac:dyDescent="0.2">
      <c r="B88" s="78" t="s">
        <v>135</v>
      </c>
      <c r="C88" s="51">
        <f>-Schedules!C41</f>
        <v>-54</v>
      </c>
      <c r="D88" s="51">
        <f>-Schedules!D41</f>
        <v>-58</v>
      </c>
      <c r="E88" s="51">
        <f>-Schedules!E41</f>
        <v>-70</v>
      </c>
      <c r="F88" s="67">
        <f>-Schedules!F41</f>
        <v>-82.938020357315452</v>
      </c>
      <c r="G88" s="67">
        <f>-Schedules!G41</f>
        <v>-98.327176843976602</v>
      </c>
      <c r="H88" s="67">
        <f>-Schedules!H41</f>
        <v>-113.71633333063775</v>
      </c>
      <c r="I88" s="67">
        <f>-Schedules!I41</f>
        <v>-129.10548981729889</v>
      </c>
      <c r="J88" s="67">
        <f>-Schedules!J41</f>
        <v>-144.49464630396005</v>
      </c>
    </row>
    <row r="89" spans="1:10" x14ac:dyDescent="0.2">
      <c r="B89" s="78" t="s">
        <v>136</v>
      </c>
      <c r="C89" s="51">
        <f>-Schedules!C42</f>
        <v>-75</v>
      </c>
      <c r="D89" s="51">
        <f>-Schedules!D42</f>
        <v>-89</v>
      </c>
      <c r="E89" s="51">
        <f>-Schedules!E42</f>
        <v>-120</v>
      </c>
      <c r="F89" s="67">
        <f>-Schedules!F42</f>
        <v>-154.53258346659882</v>
      </c>
      <c r="G89" s="67">
        <f>-Schedules!G42</f>
        <v>-192.36642286704196</v>
      </c>
      <c r="H89" s="67">
        <f>-Schedules!H42</f>
        <v>-233.59731474886291</v>
      </c>
      <c r="I89" s="67">
        <f>-Schedules!I42</f>
        <v>-278.47037976169838</v>
      </c>
      <c r="J89" s="67">
        <f>-Schedules!J42</f>
        <v>-327.24675798894521</v>
      </c>
    </row>
    <row r="90" spans="1:10" s="1" customFormat="1" x14ac:dyDescent="0.2">
      <c r="A90"/>
      <c r="B90" s="11" t="s">
        <v>19</v>
      </c>
      <c r="C90" s="52">
        <v>-466</v>
      </c>
      <c r="D90" s="52">
        <v>-548</v>
      </c>
      <c r="E90" s="52">
        <v>-722</v>
      </c>
      <c r="F90" s="68">
        <f>-Schedules!F43</f>
        <v>-874.20068895188217</v>
      </c>
      <c r="G90" s="68">
        <f>-Schedules!G43</f>
        <v>-1067.4587654911757</v>
      </c>
      <c r="H90" s="68">
        <f>-Schedules!H43</f>
        <v>-1272.2316002309203</v>
      </c>
      <c r="I90" s="68">
        <f>-Schedules!I43</f>
        <v>-1489.3500619981296</v>
      </c>
      <c r="J90" s="68">
        <f>-Schedules!J43</f>
        <v>-1719.6993196070166</v>
      </c>
    </row>
    <row r="91" spans="1:10" s="1" customFormat="1" x14ac:dyDescent="0.2">
      <c r="C91" s="50"/>
      <c r="D91" s="50"/>
      <c r="E91" s="50"/>
      <c r="F91" s="18"/>
      <c r="G91" s="18"/>
      <c r="H91" s="18"/>
      <c r="I91" s="18"/>
      <c r="J91" s="18"/>
    </row>
    <row r="92" spans="1:10" x14ac:dyDescent="0.2">
      <c r="A92" s="1"/>
      <c r="B92" s="1" t="s">
        <v>282</v>
      </c>
      <c r="C92" s="50">
        <f t="shared" ref="C92:J92" si="11">SUM(C90,C84)</f>
        <v>98</v>
      </c>
      <c r="D92" s="50">
        <f t="shared" si="11"/>
        <v>181</v>
      </c>
      <c r="E92" s="50">
        <f t="shared" si="11"/>
        <v>242</v>
      </c>
      <c r="F92" s="18">
        <f t="shared" si="11"/>
        <v>347.25560532604698</v>
      </c>
      <c r="G92" s="18">
        <f t="shared" si="11"/>
        <v>453.0437249720394</v>
      </c>
      <c r="H92" s="18">
        <f t="shared" si="11"/>
        <v>574.16806530041436</v>
      </c>
      <c r="I92" s="18">
        <f t="shared" si="11"/>
        <v>711.73523988197894</v>
      </c>
      <c r="J92" s="18">
        <f t="shared" si="11"/>
        <v>866.92418309291452</v>
      </c>
    </row>
    <row r="93" spans="1:10" x14ac:dyDescent="0.2">
      <c r="B93" s="1"/>
      <c r="C93" s="50"/>
      <c r="D93" s="50"/>
      <c r="E93" s="50"/>
      <c r="F93" s="18"/>
      <c r="G93" s="18"/>
      <c r="H93" s="18"/>
      <c r="I93" s="18"/>
      <c r="J93" s="18"/>
    </row>
    <row r="94" spans="1:10" x14ac:dyDescent="0.2">
      <c r="B94" s="13" t="s">
        <v>177</v>
      </c>
    </row>
    <row r="95" spans="1:10" x14ac:dyDescent="0.2">
      <c r="B95" s="79" t="s">
        <v>142</v>
      </c>
      <c r="C95" s="51">
        <f>-Schedules!C45</f>
        <v>-70</v>
      </c>
      <c r="D95" s="51">
        <f>-Schedules!D45</f>
        <v>-101</v>
      </c>
      <c r="E95" s="51">
        <f>-Schedules!E45</f>
        <v>-120</v>
      </c>
      <c r="F95" s="67">
        <f>-Schedules!F45</f>
        <v>-141.01320045206231</v>
      </c>
      <c r="G95" s="67">
        <f>-Schedules!G45</f>
        <v>-158.27516119705612</v>
      </c>
      <c r="H95" s="67">
        <f>-Schedules!H45</f>
        <v>-175.23712878379047</v>
      </c>
      <c r="I95" s="67">
        <f>-Schedules!I45</f>
        <v>-192.06828774002997</v>
      </c>
      <c r="J95" s="67">
        <f>-Schedules!J45</f>
        <v>-208.88945819321137</v>
      </c>
    </row>
    <row r="96" spans="1:10" x14ac:dyDescent="0.2">
      <c r="B96" s="79" t="s">
        <v>137</v>
      </c>
      <c r="C96" s="51">
        <f>-Schedules!C46</f>
        <v>-6</v>
      </c>
      <c r="D96" s="51">
        <f>-Schedules!D46</f>
        <v>-6</v>
      </c>
      <c r="E96" s="51">
        <f>-Schedules!E46</f>
        <v>-1</v>
      </c>
      <c r="F96" s="67">
        <f>-Schedules!F46</f>
        <v>-7.3862068965517249</v>
      </c>
      <c r="G96" s="67">
        <f>-Schedules!G46</f>
        <v>-8.7672413793103399</v>
      </c>
      <c r="H96" s="67">
        <f>-Schedules!H46</f>
        <v>-8.7672413793103399</v>
      </c>
      <c r="I96" s="67">
        <f>-Schedules!I46</f>
        <v>-8.7672413793103399</v>
      </c>
      <c r="J96" s="67">
        <f>-Schedules!J46</f>
        <v>-8.7672413793103399</v>
      </c>
    </row>
    <row r="97" spans="1:10" s="1" customFormat="1" x14ac:dyDescent="0.2">
      <c r="A97"/>
      <c r="B97" s="11" t="s">
        <v>20</v>
      </c>
      <c r="C97" s="52">
        <v>-76</v>
      </c>
      <c r="D97" s="52">
        <v>-107</v>
      </c>
      <c r="E97" s="52">
        <v>-121</v>
      </c>
      <c r="F97" s="68">
        <f>-Schedules!F47</f>
        <v>-148.39940734861403</v>
      </c>
      <c r="G97" s="68">
        <f>-Schedules!G47</f>
        <v>-167.04240257636647</v>
      </c>
      <c r="H97" s="68">
        <f>-Schedules!H47</f>
        <v>-184.00437016310082</v>
      </c>
      <c r="I97" s="68">
        <f>-Schedules!I47</f>
        <v>-200.83552911934032</v>
      </c>
      <c r="J97" s="68">
        <f>-Schedules!J47</f>
        <v>-217.65669957252172</v>
      </c>
    </row>
    <row r="98" spans="1:10" x14ac:dyDescent="0.2">
      <c r="A98" s="1"/>
      <c r="B98" s="69" t="s">
        <v>245</v>
      </c>
      <c r="C98" s="51">
        <v>-19</v>
      </c>
      <c r="D98" s="51">
        <v>-16</v>
      </c>
      <c r="E98" s="51">
        <v>-12</v>
      </c>
      <c r="F98" s="67">
        <f>-Schedules!F49</f>
        <v>-25.167816091954023</v>
      </c>
      <c r="G98" s="67">
        <f>-Schedules!G49</f>
        <v>-29.873563218390785</v>
      </c>
      <c r="H98" s="67">
        <f>-Schedules!H49</f>
        <v>-29.873563218390785</v>
      </c>
      <c r="I98" s="67">
        <f>-Schedules!I49</f>
        <v>-29.873563218390785</v>
      </c>
      <c r="J98" s="67">
        <f>-Schedules!J49</f>
        <v>-29.873563218390785</v>
      </c>
    </row>
    <row r="99" spans="1:10" x14ac:dyDescent="0.2">
      <c r="B99" s="69" t="s">
        <v>281</v>
      </c>
      <c r="C99" s="51">
        <v>-20</v>
      </c>
      <c r="D99" s="51">
        <v>-5</v>
      </c>
      <c r="E99" s="51">
        <v>-5</v>
      </c>
      <c r="F99" s="67">
        <f>-Schedules!F50</f>
        <v>0</v>
      </c>
      <c r="G99" s="67">
        <f>-Schedules!G50</f>
        <v>0</v>
      </c>
      <c r="H99" s="67">
        <f>-Schedules!H50</f>
        <v>0</v>
      </c>
      <c r="I99" s="67">
        <f>-Schedules!I50</f>
        <v>0</v>
      </c>
      <c r="J99" s="67">
        <f>-Schedules!J50</f>
        <v>0</v>
      </c>
    </row>
    <row r="101" spans="1:10" x14ac:dyDescent="0.2">
      <c r="B101" s="1" t="s">
        <v>17</v>
      </c>
      <c r="C101" s="50">
        <f>SUM(C97,C92,C98:C99)</f>
        <v>-17</v>
      </c>
      <c r="D101" s="50">
        <f>SUM(D97,D92,D98:D99)</f>
        <v>53</v>
      </c>
      <c r="E101" s="50">
        <f>SUM(E97,E92,E98:E99)</f>
        <v>104</v>
      </c>
      <c r="F101" s="18">
        <f>SUM(F97,F92)</f>
        <v>198.85619797743294</v>
      </c>
      <c r="G101" s="18">
        <f>SUM(G97,G92)</f>
        <v>286.0013223956729</v>
      </c>
      <c r="H101" s="18">
        <f>SUM(H97,H92)</f>
        <v>390.16369513731354</v>
      </c>
      <c r="I101" s="18">
        <f>SUM(I97,I92)</f>
        <v>510.89971076263862</v>
      </c>
      <c r="J101" s="18">
        <f>SUM(J97,J92)</f>
        <v>649.26748352039283</v>
      </c>
    </row>
    <row r="102" spans="1:10" x14ac:dyDescent="0.2">
      <c r="B102" s="1"/>
      <c r="C102" s="50"/>
      <c r="D102" s="50"/>
      <c r="E102" s="50"/>
      <c r="F102" s="18"/>
      <c r="G102" s="18"/>
      <c r="H102" s="18"/>
      <c r="I102" s="18"/>
      <c r="J102" s="18"/>
    </row>
    <row r="103" spans="1:10" x14ac:dyDescent="0.2">
      <c r="B103" t="s">
        <v>179</v>
      </c>
    </row>
    <row r="104" spans="1:10" x14ac:dyDescent="0.2">
      <c r="B104" s="78" t="s">
        <v>266</v>
      </c>
      <c r="C104" s="51">
        <f>Schedules!C96</f>
        <v>-43</v>
      </c>
      <c r="D104" s="51">
        <f>Schedules!D96</f>
        <v>-48</v>
      </c>
      <c r="E104" s="51">
        <f>Schedules!E96</f>
        <v>-61</v>
      </c>
      <c r="F104" s="67">
        <f ca="1">Schedules!F96</f>
        <v>-145.56426656934116</v>
      </c>
      <c r="G104" s="67">
        <f ca="1">Schedules!G96</f>
        <v>-141.48447687735111</v>
      </c>
      <c r="H104" s="67">
        <f ca="1">Schedules!H96</f>
        <v>-142.99275464636645</v>
      </c>
      <c r="I104" s="67">
        <f ca="1">Schedules!I96</f>
        <v>-146.77160404295074</v>
      </c>
      <c r="J104" s="67">
        <f ca="1">Schedules!J96</f>
        <v>-152.48043932296855</v>
      </c>
    </row>
    <row r="105" spans="1:10" x14ac:dyDescent="0.2">
      <c r="B105" s="78" t="s">
        <v>267</v>
      </c>
      <c r="C105" s="51">
        <f>Schedules!C97</f>
        <v>0</v>
      </c>
      <c r="D105" s="51">
        <f>Schedules!D97</f>
        <v>0</v>
      </c>
      <c r="E105" s="51">
        <f>Schedules!E97</f>
        <v>0</v>
      </c>
      <c r="F105" s="67">
        <f ca="1">Schedules!F97</f>
        <v>-59.742844379560779</v>
      </c>
      <c r="G105" s="67">
        <f ca="1">Schedules!G97</f>
        <v>-59.742844379560779</v>
      </c>
      <c r="H105" s="67">
        <f ca="1">Schedules!H97</f>
        <v>-59.742844379560779</v>
      </c>
      <c r="I105" s="67">
        <f ca="1">Schedules!I97</f>
        <v>-59.742844379560779</v>
      </c>
      <c r="J105" s="67">
        <f ca="1">Schedules!J97</f>
        <v>-59.742844379560779</v>
      </c>
    </row>
    <row r="106" spans="1:10" x14ac:dyDescent="0.2">
      <c r="B106" s="78" t="s">
        <v>15</v>
      </c>
      <c r="C106" s="51">
        <f>Schedules!C98</f>
        <v>0</v>
      </c>
      <c r="D106" s="51">
        <f>Schedules!D98</f>
        <v>0</v>
      </c>
      <c r="E106" s="51">
        <f>Schedules!E98</f>
        <v>0</v>
      </c>
      <c r="F106" s="67">
        <f>Schedules!F98</f>
        <v>-5.7840000000000007</v>
      </c>
      <c r="G106" s="67">
        <f>Schedules!G98</f>
        <v>-5.7840000000000007</v>
      </c>
      <c r="H106" s="67">
        <f>Schedules!H98</f>
        <v>-5.7840000000000007</v>
      </c>
      <c r="I106" s="67">
        <f>Schedules!I98</f>
        <v>-5.7840000000000007</v>
      </c>
      <c r="J106" s="67">
        <f>Schedules!J98</f>
        <v>-5.7840000000000007</v>
      </c>
    </row>
    <row r="107" spans="1:10" s="1" customFormat="1" x14ac:dyDescent="0.2">
      <c r="A107"/>
      <c r="B107" s="11" t="s">
        <v>54</v>
      </c>
      <c r="C107" s="52">
        <v>-43</v>
      </c>
      <c r="D107" s="52">
        <v>-48</v>
      </c>
      <c r="E107" s="52">
        <v>-61</v>
      </c>
      <c r="F107" s="68">
        <f ca="1">Schedules!F99</f>
        <v>-211.09111094890193</v>
      </c>
      <c r="G107" s="68">
        <f ca="1">Schedules!G99</f>
        <v>-207.01132125691188</v>
      </c>
      <c r="H107" s="68">
        <f ca="1">Schedules!H99</f>
        <v>-208.51959902592722</v>
      </c>
      <c r="I107" s="68">
        <f ca="1">Schedules!I99</f>
        <v>-212.29844842251151</v>
      </c>
      <c r="J107" s="68">
        <f ca="1">Schedules!J99</f>
        <v>-218.00728370252932</v>
      </c>
    </row>
    <row r="108" spans="1:10" x14ac:dyDescent="0.2">
      <c r="A108" s="1"/>
    </row>
    <row r="109" spans="1:10" x14ac:dyDescent="0.2">
      <c r="B109" s="1" t="s">
        <v>21</v>
      </c>
      <c r="C109" s="50">
        <f t="shared" ref="C109:J109" si="12">SUM(C107,C101)</f>
        <v>-60</v>
      </c>
      <c r="D109" s="50">
        <f t="shared" si="12"/>
        <v>5</v>
      </c>
      <c r="E109" s="50">
        <f t="shared" si="12"/>
        <v>43</v>
      </c>
      <c r="F109" s="18">
        <f t="shared" ca="1" si="12"/>
        <v>-12.234912971468987</v>
      </c>
      <c r="G109" s="18">
        <f t="shared" ca="1" si="12"/>
        <v>78.990001138761016</v>
      </c>
      <c r="H109" s="18">
        <f t="shared" ca="1" si="12"/>
        <v>181.64409611138632</v>
      </c>
      <c r="I109" s="18">
        <f t="shared" ca="1" si="12"/>
        <v>298.60126234012711</v>
      </c>
      <c r="J109" s="18">
        <f t="shared" ca="1" si="12"/>
        <v>431.26019981786351</v>
      </c>
    </row>
    <row r="110" spans="1:10" x14ac:dyDescent="0.2">
      <c r="B110" s="16"/>
      <c r="C110" s="16"/>
      <c r="D110" s="16"/>
    </row>
    <row r="111" spans="1:10" x14ac:dyDescent="0.2">
      <c r="B111" t="s">
        <v>279</v>
      </c>
      <c r="C111" s="51">
        <v>1</v>
      </c>
      <c r="D111" s="51">
        <v>9</v>
      </c>
      <c r="E111" s="51">
        <v>17</v>
      </c>
      <c r="F111" s="63">
        <f ca="1">-'Ratios &amp; Statistics'!F28</f>
        <v>-389.45440025154113</v>
      </c>
      <c r="G111" s="63">
        <f ca="1">-'Ratios &amp; Statistics'!G28</f>
        <v>-411.35040680166333</v>
      </c>
      <c r="H111" s="63">
        <f ca="1">-'Ratios &amp; Statistics'!H28</f>
        <v>-431.2445353364933</v>
      </c>
      <c r="I111" s="63">
        <f ca="1">-'Ratios &amp; Statistics'!I28</f>
        <v>-453.99960225965685</v>
      </c>
      <c r="J111" s="63">
        <f ca="1">-'Ratios &amp; Statistics'!J28</f>
        <v>-480.53729669547602</v>
      </c>
    </row>
    <row r="113" spans="2:12" x14ac:dyDescent="0.2">
      <c r="B113" s="1" t="s">
        <v>22</v>
      </c>
      <c r="C113" s="50">
        <f t="shared" ref="C113:J113" si="13">SUM(C111,C109)</f>
        <v>-59</v>
      </c>
      <c r="D113" s="50">
        <f t="shared" si="13"/>
        <v>14</v>
      </c>
      <c r="E113" s="50">
        <f t="shared" si="13"/>
        <v>60</v>
      </c>
      <c r="F113" s="18">
        <f t="shared" ca="1" si="13"/>
        <v>-401.68931322301012</v>
      </c>
      <c r="G113" s="18">
        <f t="shared" ca="1" si="13"/>
        <v>-332.36040566290228</v>
      </c>
      <c r="H113" s="18">
        <f t="shared" ca="1" si="13"/>
        <v>-249.60043922510698</v>
      </c>
      <c r="I113" s="18">
        <f t="shared" ca="1" si="13"/>
        <v>-155.39833991952975</v>
      </c>
      <c r="J113" s="18">
        <f t="shared" ca="1" si="13"/>
        <v>-49.277096877612507</v>
      </c>
    </row>
    <row r="115" spans="2:12" x14ac:dyDescent="0.2">
      <c r="B115" t="s">
        <v>280</v>
      </c>
      <c r="C115" s="51">
        <v>0</v>
      </c>
      <c r="D115" s="51">
        <v>-1</v>
      </c>
      <c r="E115" s="51">
        <v>70</v>
      </c>
      <c r="F115" s="63">
        <f ca="1">-'Tax Schedules '!F56</f>
        <v>106.07386027355199</v>
      </c>
      <c r="G115" s="63">
        <f ca="1">-'Tax Schedules '!G56</f>
        <v>87.766216501694672</v>
      </c>
      <c r="H115" s="63">
        <f ca="1">-'Tax Schedules '!H56</f>
        <v>65.911840925382535</v>
      </c>
      <c r="I115" s="63">
        <f ca="1">-'Tax Schedules '!I56</f>
        <v>41.035948064206281</v>
      </c>
      <c r="J115" s="63">
        <f ca="1">-'Tax Schedules '!J56</f>
        <v>13.012573939153363</v>
      </c>
      <c r="L115" t="s">
        <v>382</v>
      </c>
    </row>
    <row r="116" spans="2:12" ht="17" thickBot="1" x14ac:dyDescent="0.25">
      <c r="B116" s="141"/>
      <c r="C116" s="141"/>
      <c r="D116" s="141"/>
      <c r="E116" s="141"/>
      <c r="F116" s="141"/>
      <c r="G116" s="141"/>
      <c r="H116" s="141"/>
      <c r="I116" s="141"/>
      <c r="J116" s="141"/>
    </row>
    <row r="117" spans="2:12" ht="17" thickTop="1" x14ac:dyDescent="0.2">
      <c r="B117" s="1" t="s">
        <v>52</v>
      </c>
      <c r="C117" s="50">
        <f t="shared" ref="C117:J117" si="14">SUM(C115,C113)</f>
        <v>-59</v>
      </c>
      <c r="D117" s="50">
        <f t="shared" si="14"/>
        <v>13</v>
      </c>
      <c r="E117" s="50">
        <f t="shared" si="14"/>
        <v>130</v>
      </c>
      <c r="F117" s="18">
        <f t="shared" ca="1" si="14"/>
        <v>-295.61545294945813</v>
      </c>
      <c r="G117" s="18">
        <f t="shared" ca="1" si="14"/>
        <v>-244.59418916120762</v>
      </c>
      <c r="H117" s="18">
        <f t="shared" ca="1" si="14"/>
        <v>-183.68859829972445</v>
      </c>
      <c r="I117" s="18">
        <f t="shared" ca="1" si="14"/>
        <v>-114.36239185532347</v>
      </c>
      <c r="J117" s="18">
        <f t="shared" ca="1" si="14"/>
        <v>-36.264522938459145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1ED00-DC8C-EB44-B887-4D874021F5E4}">
  <dimension ref="B1:AB208"/>
  <sheetViews>
    <sheetView showGridLines="0" zoomScale="117" zoomScaleNormal="120" workbookViewId="0">
      <pane xSplit="2" ySplit="4" topLeftCell="C5" activePane="bottomRight" state="frozen"/>
      <selection pane="topRight" activeCell="C1" sqref="C1"/>
      <selection pane="bottomLeft" activeCell="A5" sqref="A5"/>
      <selection pane="bottomRight" activeCell="F12" sqref="F12"/>
    </sheetView>
  </sheetViews>
  <sheetFormatPr baseColWidth="10" defaultRowHeight="16" x14ac:dyDescent="0.2"/>
  <cols>
    <col min="1" max="1" width="2.5" customWidth="1"/>
    <col min="2" max="2" width="43.83203125" customWidth="1"/>
    <col min="3" max="5" width="10.83203125" customWidth="1"/>
    <col min="7" max="9" width="12.83203125" bestFit="1" customWidth="1"/>
    <col min="10" max="10" width="12.33203125" bestFit="1" customWidth="1"/>
    <col min="12" max="14" width="11.6640625" customWidth="1"/>
  </cols>
  <sheetData>
    <row r="1" spans="2:16" x14ac:dyDescent="0.2">
      <c r="E1" s="14"/>
    </row>
    <row r="2" spans="2:16" x14ac:dyDescent="0.2">
      <c r="B2" s="1"/>
      <c r="C2" s="61" t="s">
        <v>132</v>
      </c>
      <c r="L2" t="s">
        <v>128</v>
      </c>
      <c r="M2" s="17">
        <f ca="1">'Exit Waterfall'!C43</f>
        <v>0.19577150469938065</v>
      </c>
      <c r="P2" s="1"/>
    </row>
    <row r="3" spans="2:16" x14ac:dyDescent="0.2">
      <c r="B3" s="2" t="s">
        <v>0</v>
      </c>
      <c r="C3" s="2"/>
      <c r="D3" s="2"/>
      <c r="L3" t="s">
        <v>131</v>
      </c>
      <c r="M3" s="43">
        <f ca="1">'Exit Waterfall'!C44</f>
        <v>2.4447868432913102</v>
      </c>
    </row>
    <row r="4" spans="2:16" x14ac:dyDescent="0.2">
      <c r="C4" s="59">
        <v>2022</v>
      </c>
      <c r="D4" s="59">
        <v>2023</v>
      </c>
      <c r="E4" s="59">
        <v>2024</v>
      </c>
      <c r="F4" s="3">
        <v>2025</v>
      </c>
      <c r="G4" s="3">
        <v>2026</v>
      </c>
      <c r="H4" s="3">
        <v>2027</v>
      </c>
      <c r="I4" s="3">
        <v>2028</v>
      </c>
      <c r="J4" s="3">
        <v>2029</v>
      </c>
    </row>
    <row r="5" spans="2:16" x14ac:dyDescent="0.2">
      <c r="G5" s="14"/>
      <c r="H5" s="14"/>
      <c r="I5" s="14"/>
      <c r="J5" s="14"/>
    </row>
    <row r="6" spans="2:16" s="4" customFormat="1" x14ac:dyDescent="0.2">
      <c r="B6" s="5" t="s">
        <v>40</v>
      </c>
      <c r="C6" s="5"/>
      <c r="D6" s="5"/>
    </row>
    <row r="8" spans="2:16" x14ac:dyDescent="0.2">
      <c r="B8" t="s">
        <v>46</v>
      </c>
      <c r="C8" s="14">
        <f>'Financial Statements'!M10+'Financial Statements'!M22</f>
        <v>-208.16</v>
      </c>
    </row>
    <row r="9" spans="2:16" x14ac:dyDescent="0.2">
      <c r="B9" t="s">
        <v>47</v>
      </c>
      <c r="C9" s="14">
        <f ca="1">SUM('Financial Statements'!M33:M40,'Financial Statements'!M46)</f>
        <v>5766.1244379560776</v>
      </c>
    </row>
    <row r="10" spans="2:16" x14ac:dyDescent="0.2">
      <c r="B10" s="11" t="s">
        <v>239</v>
      </c>
      <c r="C10" s="15">
        <f ca="1">C9-C8</f>
        <v>5974.2844379560775</v>
      </c>
      <c r="D10" s="1"/>
    </row>
    <row r="11" spans="2:16" x14ac:dyDescent="0.2">
      <c r="J11" s="14"/>
    </row>
    <row r="12" spans="2:16" x14ac:dyDescent="0.2">
      <c r="B12" t="s">
        <v>48</v>
      </c>
      <c r="C12" s="14">
        <f ca="1">C10*Assumptions!C49</f>
        <v>5376.8559941604699</v>
      </c>
    </row>
    <row r="13" spans="2:16" x14ac:dyDescent="0.2">
      <c r="B13" t="s">
        <v>49</v>
      </c>
      <c r="C13" s="14">
        <f ca="1">C10*Assumptions!C50</f>
        <v>597.42844379560779</v>
      </c>
    </row>
    <row r="15" spans="2:16" x14ac:dyDescent="0.2">
      <c r="B15" t="s">
        <v>50</v>
      </c>
      <c r="C15" s="14">
        <f ca="1">C13*Assumptions!C27</f>
        <v>125.45997319707763</v>
      </c>
    </row>
    <row r="16" spans="2:16" x14ac:dyDescent="0.2">
      <c r="B16" t="s">
        <v>234</v>
      </c>
      <c r="C16" s="14">
        <f ca="1">C15/Assumptions!C51</f>
        <v>12.545997319707762</v>
      </c>
    </row>
    <row r="17" spans="2:28" x14ac:dyDescent="0.2">
      <c r="C17" s="14"/>
    </row>
    <row r="18" spans="2:28" s="4" customFormat="1" x14ac:dyDescent="0.2">
      <c r="B18" s="5" t="s">
        <v>138</v>
      </c>
      <c r="C18" s="5"/>
      <c r="D18" s="5"/>
    </row>
    <row r="19" spans="2:28" x14ac:dyDescent="0.2">
      <c r="C19" s="14"/>
    </row>
    <row r="20" spans="2:28" x14ac:dyDescent="0.2">
      <c r="B20" t="s">
        <v>235</v>
      </c>
      <c r="C20" s="56">
        <v>279</v>
      </c>
      <c r="D20" s="56">
        <v>309</v>
      </c>
      <c r="E20" s="56">
        <v>367</v>
      </c>
      <c r="F20" s="14">
        <f>F21+E20</f>
        <v>435</v>
      </c>
      <c r="G20" s="14">
        <f t="shared" ref="G20:L20" si="0">($M$20-$F$20)/7+F20</f>
        <v>515.71428571428567</v>
      </c>
      <c r="H20" s="14">
        <f t="shared" si="0"/>
        <v>596.42857142857133</v>
      </c>
      <c r="I20" s="14">
        <f t="shared" si="0"/>
        <v>677.142857142857</v>
      </c>
      <c r="J20" s="14">
        <f t="shared" si="0"/>
        <v>757.85714285714266</v>
      </c>
      <c r="K20" s="14">
        <f t="shared" si="0"/>
        <v>838.57142857142833</v>
      </c>
      <c r="L20" s="14">
        <f t="shared" si="0"/>
        <v>919.28571428571399</v>
      </c>
      <c r="M20">
        <v>1000</v>
      </c>
    </row>
    <row r="21" spans="2:28" x14ac:dyDescent="0.2">
      <c r="B21" t="s">
        <v>236</v>
      </c>
      <c r="C21" s="60"/>
      <c r="D21">
        <f>D20-C20</f>
        <v>30</v>
      </c>
      <c r="E21">
        <f>E20-D20</f>
        <v>58</v>
      </c>
      <c r="F21" s="61">
        <v>68</v>
      </c>
      <c r="G21" s="14">
        <f t="shared" ref="G21:M21" si="1">G20-F20</f>
        <v>80.714285714285666</v>
      </c>
      <c r="H21" s="14">
        <f t="shared" si="1"/>
        <v>80.714285714285666</v>
      </c>
      <c r="I21" s="14">
        <f t="shared" si="1"/>
        <v>80.714285714285666</v>
      </c>
      <c r="J21" s="14">
        <f t="shared" si="1"/>
        <v>80.714285714285666</v>
      </c>
      <c r="K21" s="14">
        <f t="shared" si="1"/>
        <v>80.714285714285666</v>
      </c>
      <c r="L21" s="14">
        <f t="shared" si="1"/>
        <v>80.714285714285666</v>
      </c>
      <c r="M21" s="14">
        <f t="shared" si="1"/>
        <v>80.714285714286007</v>
      </c>
      <c r="O21" s="61" t="s">
        <v>191</v>
      </c>
    </row>
    <row r="22" spans="2:28" x14ac:dyDescent="0.2">
      <c r="C22" s="60"/>
      <c r="D22" s="56"/>
      <c r="E22" s="56"/>
      <c r="F22" s="61"/>
      <c r="G22" s="14"/>
      <c r="H22" s="14"/>
      <c r="I22" s="14"/>
      <c r="J22" s="14"/>
      <c r="K22" s="14"/>
      <c r="L22" s="14"/>
      <c r="O22" s="61"/>
    </row>
    <row r="23" spans="2:28" x14ac:dyDescent="0.2">
      <c r="B23" t="s">
        <v>237</v>
      </c>
      <c r="D23" s="17">
        <f t="shared" ref="D23:J23" si="2">D21/C20</f>
        <v>0.10752688172043011</v>
      </c>
      <c r="E23" s="17">
        <f t="shared" si="2"/>
        <v>0.18770226537216828</v>
      </c>
      <c r="F23" s="17">
        <f t="shared" si="2"/>
        <v>0.18528610354223432</v>
      </c>
      <c r="G23" s="17">
        <f t="shared" si="2"/>
        <v>0.18555008210180612</v>
      </c>
      <c r="H23" s="17">
        <f t="shared" si="2"/>
        <v>0.15650969529085865</v>
      </c>
      <c r="I23" s="17">
        <f t="shared" si="2"/>
        <v>0.13532934131736521</v>
      </c>
      <c r="J23" s="17">
        <f t="shared" si="2"/>
        <v>0.11919831223628688</v>
      </c>
      <c r="O23" s="61" t="s">
        <v>141</v>
      </c>
      <c r="V23" s="119"/>
      <c r="W23" s="119"/>
      <c r="X23" s="119"/>
      <c r="Y23" s="119"/>
      <c r="Z23" s="170"/>
      <c r="AA23" s="119"/>
      <c r="AB23" s="119"/>
    </row>
    <row r="24" spans="2:28" x14ac:dyDescent="0.2">
      <c r="D24" s="17"/>
      <c r="E24" s="17"/>
      <c r="F24" s="17"/>
      <c r="G24" s="17"/>
      <c r="H24" s="17"/>
      <c r="I24" s="17"/>
      <c r="J24" s="17"/>
      <c r="V24" s="119"/>
      <c r="W24" s="186"/>
      <c r="X24" s="187"/>
      <c r="Y24" s="187"/>
      <c r="Z24" s="187"/>
      <c r="AA24" s="187"/>
      <c r="AB24" s="187"/>
    </row>
    <row r="25" spans="2:28" x14ac:dyDescent="0.2">
      <c r="B25" s="38" t="s">
        <v>238</v>
      </c>
      <c r="F25" s="64">
        <v>0.01</v>
      </c>
      <c r="G25" s="149">
        <v>0.02</v>
      </c>
      <c r="H25" s="17">
        <f>$G$25</f>
        <v>0.02</v>
      </c>
      <c r="I25" s="17">
        <f>$G$25</f>
        <v>0.02</v>
      </c>
      <c r="J25" s="17">
        <f>$G$25</f>
        <v>0.02</v>
      </c>
      <c r="K25" s="64"/>
      <c r="O25" s="61" t="s">
        <v>139</v>
      </c>
      <c r="V25" s="119"/>
      <c r="W25" s="187"/>
      <c r="X25" s="119"/>
      <c r="Y25" s="119"/>
      <c r="Z25" s="119"/>
      <c r="AA25" s="119"/>
      <c r="AB25" s="119"/>
    </row>
    <row r="26" spans="2:28" x14ac:dyDescent="0.2">
      <c r="B26" s="38" t="s">
        <v>240</v>
      </c>
      <c r="C26" s="14"/>
      <c r="F26" s="64">
        <v>5.8999999999999997E-2</v>
      </c>
      <c r="G26" s="149">
        <v>0.03</v>
      </c>
      <c r="H26" s="17">
        <f>$G$26</f>
        <v>0.03</v>
      </c>
      <c r="I26" s="17">
        <f>$G$26</f>
        <v>0.03</v>
      </c>
      <c r="J26" s="17">
        <f>$G$26</f>
        <v>0.03</v>
      </c>
      <c r="O26" s="61" t="s">
        <v>140</v>
      </c>
      <c r="V26" s="119"/>
      <c r="W26" s="187"/>
      <c r="X26" s="119"/>
      <c r="Y26" s="119"/>
      <c r="Z26" s="119"/>
      <c r="AA26" s="119"/>
      <c r="AB26" s="119"/>
    </row>
    <row r="27" spans="2:28" x14ac:dyDescent="0.2">
      <c r="C27" s="14"/>
      <c r="F27" s="64"/>
      <c r="G27" s="64"/>
      <c r="H27" s="64"/>
      <c r="I27" s="64"/>
      <c r="J27" s="64"/>
      <c r="V27" s="119"/>
      <c r="W27" s="187"/>
      <c r="X27" s="119"/>
      <c r="Y27" s="119"/>
      <c r="Z27" s="119"/>
      <c r="AA27" s="119"/>
      <c r="AB27" s="119"/>
    </row>
    <row r="28" spans="2:28" x14ac:dyDescent="0.2">
      <c r="B28" t="s">
        <v>241</v>
      </c>
      <c r="F28" s="17">
        <f>SUM(F25:F26)</f>
        <v>6.8999999999999992E-2</v>
      </c>
      <c r="G28" s="17">
        <f>SUM(G25:G26)</f>
        <v>0.05</v>
      </c>
      <c r="H28" s="17">
        <f>SUM(H25:H26)</f>
        <v>0.05</v>
      </c>
      <c r="I28" s="17">
        <f>SUM(I25:I26)</f>
        <v>0.05</v>
      </c>
      <c r="J28" s="17">
        <f>SUM(J25:J26)</f>
        <v>0.05</v>
      </c>
      <c r="O28" s="61" t="s">
        <v>175</v>
      </c>
      <c r="V28" s="119"/>
      <c r="W28" s="187"/>
      <c r="X28" s="119"/>
      <c r="Y28" s="119"/>
      <c r="Z28" s="119"/>
      <c r="AA28" s="119"/>
      <c r="AB28" s="119"/>
    </row>
    <row r="29" spans="2:28" x14ac:dyDescent="0.2">
      <c r="B29" t="s">
        <v>242</v>
      </c>
      <c r="C29" s="14">
        <f>C31/C20*1000</f>
        <v>2021.505376344086</v>
      </c>
      <c r="D29" s="14">
        <f>D31/D20*1000</f>
        <v>2359.2233009708734</v>
      </c>
      <c r="E29" s="14">
        <f>E31/E20*1000</f>
        <v>2626.7029972752043</v>
      </c>
      <c r="F29" s="14">
        <f>E29*(1+F28)</f>
        <v>2807.9455040871935</v>
      </c>
      <c r="G29" s="14">
        <f>F29*(1+G28)</f>
        <v>2948.3427792915531</v>
      </c>
      <c r="H29" s="14">
        <f>G29*(1+H28)</f>
        <v>3095.7599182561307</v>
      </c>
      <c r="I29" s="14">
        <f>H29*(1+I28)</f>
        <v>3250.5479141689375</v>
      </c>
      <c r="J29" s="14">
        <f>I29*(1+J28)</f>
        <v>3413.0753098773844</v>
      </c>
      <c r="O29" s="61"/>
      <c r="V29" s="119"/>
      <c r="W29" s="187"/>
      <c r="X29" s="119"/>
      <c r="Y29" s="119"/>
      <c r="Z29" s="119"/>
      <c r="AA29" s="119"/>
      <c r="AB29" s="119"/>
    </row>
    <row r="30" spans="2:28" x14ac:dyDescent="0.2">
      <c r="C30" s="14"/>
      <c r="D30" s="14"/>
      <c r="E30" s="14"/>
      <c r="F30" s="14"/>
      <c r="G30" s="14"/>
      <c r="H30" s="14"/>
      <c r="I30" s="14"/>
      <c r="J30" s="14"/>
      <c r="K30" s="32"/>
      <c r="L30" s="32"/>
      <c r="M30" s="32"/>
      <c r="N30" s="32"/>
      <c r="O30" s="32"/>
      <c r="P30" s="32"/>
    </row>
    <row r="31" spans="2:28" s="1" customFormat="1" x14ac:dyDescent="0.2">
      <c r="B31" s="1" t="s">
        <v>1</v>
      </c>
      <c r="C31" s="139">
        <f>'Financial Statements'!C84</f>
        <v>564</v>
      </c>
      <c r="D31" s="139">
        <f>'Financial Statements'!D84</f>
        <v>729</v>
      </c>
      <c r="E31" s="139">
        <f>'Financial Statements'!E84</f>
        <v>964</v>
      </c>
      <c r="F31" s="18">
        <f>F29*F20/1000</f>
        <v>1221.4562942779291</v>
      </c>
      <c r="G31" s="18">
        <f>G29*G20/1000</f>
        <v>1520.5024904632151</v>
      </c>
      <c r="H31" s="18">
        <f>H29*H20/1000</f>
        <v>1846.3996655313347</v>
      </c>
      <c r="I31" s="18">
        <f>I29*I20/1000</f>
        <v>2201.0853018801085</v>
      </c>
      <c r="J31" s="18">
        <f>J29*J20/1000</f>
        <v>2586.6235026999311</v>
      </c>
      <c r="K31" s="45"/>
      <c r="N31" s="107"/>
    </row>
    <row r="33" spans="2:12" s="4" customFormat="1" x14ac:dyDescent="0.2">
      <c r="B33" s="5" t="s">
        <v>143</v>
      </c>
      <c r="C33" s="5"/>
      <c r="D33" s="5"/>
    </row>
    <row r="35" spans="2:12" s="72" customFormat="1" x14ac:dyDescent="0.2">
      <c r="B35" s="72" t="s">
        <v>1</v>
      </c>
      <c r="C35" s="63">
        <f>'Financial Statements'!C84</f>
        <v>564</v>
      </c>
      <c r="D35" s="63">
        <f>'Financial Statements'!D84</f>
        <v>729</v>
      </c>
      <c r="E35" s="63">
        <f>'Financial Statements'!E84</f>
        <v>964</v>
      </c>
      <c r="F35" s="63">
        <f>'Financial Statements'!F84</f>
        <v>1221.4562942779291</v>
      </c>
      <c r="G35" s="63">
        <f>'Financial Statements'!G84</f>
        <v>1520.5024904632151</v>
      </c>
      <c r="H35" s="63">
        <f>'Financial Statements'!H84</f>
        <v>1846.3996655313347</v>
      </c>
      <c r="I35" s="63">
        <f>'Financial Statements'!I84</f>
        <v>2201.0853018801085</v>
      </c>
      <c r="J35" s="63">
        <f>'Financial Statements'!J84</f>
        <v>2586.6235026999311</v>
      </c>
    </row>
    <row r="36" spans="2:12" x14ac:dyDescent="0.2">
      <c r="B36" t="s">
        <v>243</v>
      </c>
      <c r="C36" s="14">
        <f t="shared" ref="C36:J37" si="3">C20</f>
        <v>279</v>
      </c>
      <c r="D36" s="14">
        <f t="shared" si="3"/>
        <v>309</v>
      </c>
      <c r="E36" s="14">
        <f t="shared" si="3"/>
        <v>367</v>
      </c>
      <c r="F36" s="14">
        <f t="shared" si="3"/>
        <v>435</v>
      </c>
      <c r="G36" s="14">
        <f t="shared" si="3"/>
        <v>515.71428571428567</v>
      </c>
      <c r="H36" s="14">
        <f t="shared" si="3"/>
        <v>596.42857142857133</v>
      </c>
      <c r="I36" s="14">
        <f t="shared" si="3"/>
        <v>677.142857142857</v>
      </c>
      <c r="J36" s="14">
        <f t="shared" si="3"/>
        <v>757.85714285714266</v>
      </c>
    </row>
    <row r="37" spans="2:12" x14ac:dyDescent="0.2">
      <c r="B37" t="s">
        <v>244</v>
      </c>
      <c r="C37" s="14">
        <f t="shared" si="3"/>
        <v>0</v>
      </c>
      <c r="D37" s="14">
        <f t="shared" si="3"/>
        <v>30</v>
      </c>
      <c r="E37" s="14">
        <f t="shared" si="3"/>
        <v>58</v>
      </c>
      <c r="F37" s="14">
        <f t="shared" si="3"/>
        <v>68</v>
      </c>
      <c r="G37" s="14">
        <f t="shared" si="3"/>
        <v>80.714285714285666</v>
      </c>
      <c r="H37" s="14">
        <f t="shared" si="3"/>
        <v>80.714285714285666</v>
      </c>
      <c r="I37" s="14">
        <f t="shared" si="3"/>
        <v>80.714285714285666</v>
      </c>
      <c r="J37" s="14">
        <f t="shared" si="3"/>
        <v>80.714285714285666</v>
      </c>
    </row>
    <row r="39" spans="2:12" x14ac:dyDescent="0.2">
      <c r="B39" s="24" t="s">
        <v>133</v>
      </c>
      <c r="C39" s="51">
        <v>180</v>
      </c>
      <c r="D39" s="51">
        <v>213</v>
      </c>
      <c r="E39" s="51">
        <v>285</v>
      </c>
      <c r="F39" s="14">
        <f t="shared" ref="F39:J40" si="4">F52*F35</f>
        <v>369.27602486766693</v>
      </c>
      <c r="G39" s="14">
        <f t="shared" si="4"/>
        <v>459.68498268009569</v>
      </c>
      <c r="H39" s="14">
        <f t="shared" si="4"/>
        <v>558.21164621159812</v>
      </c>
      <c r="I39" s="14">
        <f t="shared" si="4"/>
        <v>665.44176363955069</v>
      </c>
      <c r="J39" s="14">
        <f t="shared" si="4"/>
        <v>781.99936369476939</v>
      </c>
      <c r="L39" t="s">
        <v>145</v>
      </c>
    </row>
    <row r="40" spans="2:12" x14ac:dyDescent="0.2">
      <c r="B40" s="24" t="s">
        <v>134</v>
      </c>
      <c r="C40" s="51">
        <v>158</v>
      </c>
      <c r="D40" s="51">
        <v>187</v>
      </c>
      <c r="E40" s="51">
        <v>247</v>
      </c>
      <c r="F40" s="14">
        <f t="shared" si="4"/>
        <v>267.45406026030105</v>
      </c>
      <c r="G40" s="14">
        <f t="shared" si="4"/>
        <v>317.08018310006133</v>
      </c>
      <c r="H40" s="14">
        <f t="shared" si="4"/>
        <v>366.70630593982156</v>
      </c>
      <c r="I40" s="14">
        <f t="shared" si="4"/>
        <v>416.33242877958185</v>
      </c>
      <c r="J40" s="14">
        <f t="shared" si="4"/>
        <v>465.95855161934213</v>
      </c>
    </row>
    <row r="41" spans="2:12" x14ac:dyDescent="0.2">
      <c r="B41" s="24" t="s">
        <v>135</v>
      </c>
      <c r="C41" s="51">
        <v>54</v>
      </c>
      <c r="D41" s="51">
        <v>58</v>
      </c>
      <c r="E41" s="51">
        <v>70</v>
      </c>
      <c r="F41" s="14">
        <f>F54*F36</f>
        <v>82.938020357315452</v>
      </c>
      <c r="G41" s="14">
        <f>G54*G36</f>
        <v>98.327176843976602</v>
      </c>
      <c r="H41" s="14">
        <f>H54*H36</f>
        <v>113.71633333063775</v>
      </c>
      <c r="I41" s="14">
        <f>I54*I36</f>
        <v>129.10548981729889</v>
      </c>
      <c r="J41" s="14">
        <f>J54*J36</f>
        <v>144.49464630396005</v>
      </c>
    </row>
    <row r="42" spans="2:12" x14ac:dyDescent="0.2">
      <c r="B42" s="24" t="s">
        <v>136</v>
      </c>
      <c r="C42" s="51">
        <v>75</v>
      </c>
      <c r="D42" s="51">
        <v>89</v>
      </c>
      <c r="E42" s="51">
        <v>120</v>
      </c>
      <c r="F42" s="14">
        <f>F55*F35</f>
        <v>154.53258346659882</v>
      </c>
      <c r="G42" s="14">
        <f>G55*G35</f>
        <v>192.36642286704196</v>
      </c>
      <c r="H42" s="14">
        <f>H55*H35</f>
        <v>233.59731474886291</v>
      </c>
      <c r="I42" s="14">
        <f>I55*I35</f>
        <v>278.47037976169838</v>
      </c>
      <c r="J42" s="14">
        <f>J55*J35</f>
        <v>327.24675798894521</v>
      </c>
    </row>
    <row r="43" spans="2:12" s="1" customFormat="1" x14ac:dyDescent="0.2">
      <c r="B43" s="11" t="s">
        <v>19</v>
      </c>
      <c r="C43" s="52">
        <f t="shared" ref="C43:J43" si="5">SUM(C39:C42)</f>
        <v>467</v>
      </c>
      <c r="D43" s="52">
        <f t="shared" si="5"/>
        <v>547</v>
      </c>
      <c r="E43" s="52">
        <f t="shared" si="5"/>
        <v>722</v>
      </c>
      <c r="F43" s="15">
        <f t="shared" si="5"/>
        <v>874.20068895188217</v>
      </c>
      <c r="G43" s="15">
        <f t="shared" si="5"/>
        <v>1067.4587654911757</v>
      </c>
      <c r="H43" s="15">
        <f t="shared" si="5"/>
        <v>1272.2316002309203</v>
      </c>
      <c r="I43" s="15">
        <f t="shared" si="5"/>
        <v>1489.3500619981296</v>
      </c>
      <c r="J43" s="15">
        <f t="shared" si="5"/>
        <v>1719.6993196070166</v>
      </c>
    </row>
    <row r="44" spans="2:12" s="1" customFormat="1" x14ac:dyDescent="0.2">
      <c r="C44" s="50"/>
      <c r="D44" s="50"/>
      <c r="E44" s="50"/>
      <c r="F44" s="18"/>
      <c r="G44" s="18"/>
      <c r="H44" s="18"/>
      <c r="I44" s="18"/>
      <c r="J44" s="18"/>
    </row>
    <row r="45" spans="2:12" s="1" customFormat="1" x14ac:dyDescent="0.2">
      <c r="B45" s="19" t="s">
        <v>142</v>
      </c>
      <c r="C45" s="51">
        <v>70</v>
      </c>
      <c r="D45" s="51">
        <v>101</v>
      </c>
      <c r="E45" s="51">
        <v>120</v>
      </c>
      <c r="F45" s="33">
        <f>AVERAGE(C56:E56)*AVERAGE(F35,E35)</f>
        <v>141.01320045206231</v>
      </c>
      <c r="G45" s="33">
        <f>AVERAGE(F56)*AVERAGE(G35,F35)</f>
        <v>158.27516119705612</v>
      </c>
      <c r="H45" s="33">
        <f>AVERAGE(G56)*AVERAGE(H35,G35)</f>
        <v>175.23712878379047</v>
      </c>
      <c r="I45" s="33">
        <f>AVERAGE(H56)*AVERAGE(I35,H35)</f>
        <v>192.06828774002997</v>
      </c>
      <c r="J45" s="33">
        <f>AVERAGE(I56)*AVERAGE(J35,I35)</f>
        <v>208.88945819321137</v>
      </c>
      <c r="L45" s="1" t="s">
        <v>176</v>
      </c>
    </row>
    <row r="46" spans="2:12" s="1" customFormat="1" x14ac:dyDescent="0.2">
      <c r="B46" s="19" t="s">
        <v>137</v>
      </c>
      <c r="C46" s="51">
        <v>6</v>
      </c>
      <c r="D46" s="51">
        <v>6</v>
      </c>
      <c r="E46" s="51">
        <v>1</v>
      </c>
      <c r="F46" s="33">
        <f>F57*F37</f>
        <v>7.3862068965517249</v>
      </c>
      <c r="G46" s="33">
        <f>G57*G37</f>
        <v>8.7672413793103399</v>
      </c>
      <c r="H46" s="33">
        <f>H57*H37</f>
        <v>8.7672413793103399</v>
      </c>
      <c r="I46" s="33">
        <f>I57*I37</f>
        <v>8.7672413793103399</v>
      </c>
      <c r="J46" s="33">
        <f>J57*J37</f>
        <v>8.7672413793103399</v>
      </c>
    </row>
    <row r="47" spans="2:12" s="1" customFormat="1" x14ac:dyDescent="0.2">
      <c r="B47" s="11" t="s">
        <v>144</v>
      </c>
      <c r="C47" s="52">
        <f t="shared" ref="C47:J47" si="6">SUM(C45:C46)</f>
        <v>76</v>
      </c>
      <c r="D47" s="52">
        <f t="shared" si="6"/>
        <v>107</v>
      </c>
      <c r="E47" s="52">
        <f t="shared" si="6"/>
        <v>121</v>
      </c>
      <c r="F47" s="15">
        <f t="shared" si="6"/>
        <v>148.39940734861403</v>
      </c>
      <c r="G47" s="15">
        <f t="shared" si="6"/>
        <v>167.04240257636647</v>
      </c>
      <c r="H47" s="15">
        <f t="shared" si="6"/>
        <v>184.00437016310082</v>
      </c>
      <c r="I47" s="15">
        <f t="shared" si="6"/>
        <v>200.83552911934032</v>
      </c>
      <c r="J47" s="15">
        <f t="shared" si="6"/>
        <v>217.65669957252172</v>
      </c>
    </row>
    <row r="48" spans="2:12" s="1" customFormat="1" x14ac:dyDescent="0.2">
      <c r="C48" s="50"/>
      <c r="D48" s="50"/>
      <c r="E48" s="50"/>
      <c r="F48" s="18"/>
      <c r="G48" s="18"/>
      <c r="H48" s="18"/>
      <c r="I48" s="18"/>
      <c r="J48" s="18"/>
    </row>
    <row r="49" spans="2:12" s="1" customFormat="1" x14ac:dyDescent="0.2">
      <c r="B49" s="1" t="s">
        <v>245</v>
      </c>
      <c r="C49" s="50">
        <f>-'Financial Statements'!C98</f>
        <v>19</v>
      </c>
      <c r="D49" s="50">
        <f>-'Financial Statements'!D98</f>
        <v>16</v>
      </c>
      <c r="E49" s="50">
        <f>-'Financial Statements'!E98</f>
        <v>12</v>
      </c>
      <c r="F49" s="18">
        <f>F58*F37</f>
        <v>25.167816091954023</v>
      </c>
      <c r="G49" s="18">
        <f>G58*G37</f>
        <v>29.873563218390785</v>
      </c>
      <c r="H49" s="18">
        <f>H58*H37</f>
        <v>29.873563218390785</v>
      </c>
      <c r="I49" s="18">
        <f>I58*I37</f>
        <v>29.873563218390785</v>
      </c>
      <c r="J49" s="18">
        <f>J58*J37</f>
        <v>29.873563218390785</v>
      </c>
    </row>
    <row r="50" spans="2:12" s="1" customFormat="1" x14ac:dyDescent="0.2">
      <c r="B50" s="1" t="s">
        <v>246</v>
      </c>
      <c r="C50" s="50">
        <f>-'Financial Statements'!C99</f>
        <v>20</v>
      </c>
      <c r="D50" s="50">
        <f>-'Financial Statements'!D99</f>
        <v>5</v>
      </c>
      <c r="E50" s="50">
        <f>-'Financial Statements'!E99</f>
        <v>5</v>
      </c>
      <c r="F50" s="50">
        <v>0</v>
      </c>
      <c r="G50" s="50">
        <v>0</v>
      </c>
      <c r="H50" s="50">
        <v>0</v>
      </c>
      <c r="I50" s="50">
        <v>0</v>
      </c>
      <c r="J50" s="50">
        <v>0</v>
      </c>
      <c r="L50" s="61" t="s">
        <v>146</v>
      </c>
    </row>
    <row r="51" spans="2:12" x14ac:dyDescent="0.2">
      <c r="B51" s="14"/>
      <c r="C51" s="14"/>
      <c r="D51" s="14"/>
      <c r="E51" s="14"/>
      <c r="F51" s="14"/>
      <c r="G51" s="14"/>
      <c r="H51" s="14"/>
      <c r="I51" s="14"/>
      <c r="J51" s="14"/>
    </row>
    <row r="52" spans="2:12" x14ac:dyDescent="0.2">
      <c r="B52" s="14" t="s">
        <v>247</v>
      </c>
      <c r="C52" s="40">
        <f t="shared" ref="C52:E53" si="7">C39/C35</f>
        <v>0.31914893617021278</v>
      </c>
      <c r="D52" s="40">
        <f t="shared" si="7"/>
        <v>0.29218106995884774</v>
      </c>
      <c r="E52" s="40">
        <f t="shared" si="7"/>
        <v>0.29564315352697096</v>
      </c>
      <c r="F52" s="40">
        <f>AVERAGE(C52:E52)</f>
        <v>0.30232438655201049</v>
      </c>
      <c r="G52" s="40">
        <f t="shared" ref="G52:J55" si="8">$F52</f>
        <v>0.30232438655201049</v>
      </c>
      <c r="H52" s="40">
        <f t="shared" si="8"/>
        <v>0.30232438655201049</v>
      </c>
      <c r="I52" s="40">
        <f t="shared" si="8"/>
        <v>0.30232438655201049</v>
      </c>
      <c r="J52" s="40">
        <f t="shared" si="8"/>
        <v>0.30232438655201049</v>
      </c>
    </row>
    <row r="53" spans="2:12" x14ac:dyDescent="0.2">
      <c r="B53" s="14" t="s">
        <v>248</v>
      </c>
      <c r="C53" s="40">
        <f t="shared" si="7"/>
        <v>0.56630824372759858</v>
      </c>
      <c r="D53" s="40">
        <f t="shared" si="7"/>
        <v>0.60517799352750812</v>
      </c>
      <c r="E53" s="40">
        <f t="shared" si="7"/>
        <v>0.67302452316076289</v>
      </c>
      <c r="F53" s="40">
        <f>AVERAGE(C53:E53)</f>
        <v>0.61483692013862312</v>
      </c>
      <c r="G53" s="40">
        <f t="shared" si="8"/>
        <v>0.61483692013862312</v>
      </c>
      <c r="H53" s="40">
        <f t="shared" si="8"/>
        <v>0.61483692013862312</v>
      </c>
      <c r="I53" s="40">
        <f t="shared" si="8"/>
        <v>0.61483692013862312</v>
      </c>
      <c r="J53" s="40">
        <f t="shared" si="8"/>
        <v>0.61483692013862312</v>
      </c>
    </row>
    <row r="54" spans="2:12" x14ac:dyDescent="0.2">
      <c r="B54" s="14" t="s">
        <v>249</v>
      </c>
      <c r="C54" s="40">
        <f>C41/C36</f>
        <v>0.19354838709677419</v>
      </c>
      <c r="D54" s="40">
        <f>D41/D36</f>
        <v>0.18770226537216828</v>
      </c>
      <c r="E54" s="40">
        <f>E41/E36</f>
        <v>0.1907356948228883</v>
      </c>
      <c r="F54" s="40">
        <f>AVERAGE(C54:E54)</f>
        <v>0.19066211576394357</v>
      </c>
      <c r="G54" s="40">
        <f t="shared" si="8"/>
        <v>0.19066211576394357</v>
      </c>
      <c r="H54" s="40">
        <f t="shared" si="8"/>
        <v>0.19066211576394357</v>
      </c>
      <c r="I54" s="40">
        <f t="shared" si="8"/>
        <v>0.19066211576394357</v>
      </c>
      <c r="J54" s="40">
        <f t="shared" si="8"/>
        <v>0.19066211576394357</v>
      </c>
    </row>
    <row r="55" spans="2:12" x14ac:dyDescent="0.2">
      <c r="B55" s="14" t="s">
        <v>250</v>
      </c>
      <c r="C55" s="40">
        <f>C42/C35</f>
        <v>0.13297872340425532</v>
      </c>
      <c r="D55" s="40">
        <f>D42/D35</f>
        <v>0.12208504801097393</v>
      </c>
      <c r="E55" s="40">
        <f>E42/E35</f>
        <v>0.12448132780082988</v>
      </c>
      <c r="F55" s="40">
        <f>AVERAGE(C55:E55)</f>
        <v>0.12651503307201969</v>
      </c>
      <c r="G55" s="40">
        <f t="shared" si="8"/>
        <v>0.12651503307201969</v>
      </c>
      <c r="H55" s="40">
        <f t="shared" si="8"/>
        <v>0.12651503307201969</v>
      </c>
      <c r="I55" s="40">
        <f t="shared" si="8"/>
        <v>0.12651503307201969</v>
      </c>
      <c r="J55" s="40">
        <f t="shared" si="8"/>
        <v>0.12651503307201969</v>
      </c>
    </row>
    <row r="56" spans="2:12" x14ac:dyDescent="0.2">
      <c r="B56" s="14" t="s">
        <v>251</v>
      </c>
      <c r="C56" s="40">
        <f t="shared" ref="C56:J56" si="9">C45/C35</f>
        <v>0.12411347517730496</v>
      </c>
      <c r="D56" s="40">
        <f t="shared" si="9"/>
        <v>0.13854595336076816</v>
      </c>
      <c r="E56" s="40">
        <f t="shared" si="9"/>
        <v>0.12448132780082988</v>
      </c>
      <c r="F56" s="40">
        <f t="shared" si="9"/>
        <v>0.11544678357519379</v>
      </c>
      <c r="G56" s="40">
        <f t="shared" si="9"/>
        <v>0.1040939835283257</v>
      </c>
      <c r="H56" s="40">
        <f t="shared" si="9"/>
        <v>9.4907474289085095E-2</v>
      </c>
      <c r="I56" s="40">
        <f t="shared" si="9"/>
        <v>8.7260719780360332E-2</v>
      </c>
      <c r="J56" s="40">
        <f t="shared" si="9"/>
        <v>8.0757581447462867E-2</v>
      </c>
    </row>
    <row r="57" spans="2:12" x14ac:dyDescent="0.2">
      <c r="B57" s="14" t="s">
        <v>252</v>
      </c>
      <c r="C57" s="40"/>
      <c r="D57" s="40">
        <f>D46/D37</f>
        <v>0.2</v>
      </c>
      <c r="E57" s="40">
        <f>E46/E37</f>
        <v>1.7241379310344827E-2</v>
      </c>
      <c r="F57" s="40">
        <f>AVERAGE(C57:E57)</f>
        <v>0.10862068965517242</v>
      </c>
      <c r="G57" s="40">
        <f t="shared" ref="G57:J58" si="10">$F57</f>
        <v>0.10862068965517242</v>
      </c>
      <c r="H57" s="40">
        <f t="shared" si="10"/>
        <v>0.10862068965517242</v>
      </c>
      <c r="I57" s="40">
        <f t="shared" si="10"/>
        <v>0.10862068965517242</v>
      </c>
      <c r="J57" s="40">
        <f t="shared" si="10"/>
        <v>0.10862068965517242</v>
      </c>
    </row>
    <row r="58" spans="2:12" x14ac:dyDescent="0.2">
      <c r="B58" s="14" t="s">
        <v>253</v>
      </c>
      <c r="C58" s="40"/>
      <c r="D58" s="40">
        <f>D49/D37</f>
        <v>0.53333333333333333</v>
      </c>
      <c r="E58" s="40">
        <f>E49/E37</f>
        <v>0.20689655172413793</v>
      </c>
      <c r="F58" s="40">
        <f>AVERAGE(C58:E58)</f>
        <v>0.37011494252873561</v>
      </c>
      <c r="G58" s="40">
        <f t="shared" si="10"/>
        <v>0.37011494252873561</v>
      </c>
      <c r="H58" s="40">
        <f t="shared" si="10"/>
        <v>0.37011494252873561</v>
      </c>
      <c r="I58" s="40">
        <f t="shared" si="10"/>
        <v>0.37011494252873561</v>
      </c>
      <c r="J58" s="40">
        <f t="shared" si="10"/>
        <v>0.37011494252873561</v>
      </c>
    </row>
    <row r="59" spans="2:12" x14ac:dyDescent="0.2">
      <c r="B59" s="14" t="s">
        <v>254</v>
      </c>
      <c r="C59" s="40">
        <f t="shared" ref="C59:J59" si="11">C50/C35</f>
        <v>3.5460992907801421E-2</v>
      </c>
      <c r="D59" s="40">
        <f t="shared" si="11"/>
        <v>6.8587105624142658E-3</v>
      </c>
      <c r="E59" s="40">
        <f t="shared" si="11"/>
        <v>5.1867219917012446E-3</v>
      </c>
      <c r="F59" s="40">
        <f t="shared" si="11"/>
        <v>0</v>
      </c>
      <c r="G59" s="40">
        <f t="shared" si="11"/>
        <v>0</v>
      </c>
      <c r="H59" s="40">
        <f t="shared" si="11"/>
        <v>0</v>
      </c>
      <c r="I59" s="40">
        <f t="shared" si="11"/>
        <v>0</v>
      </c>
      <c r="J59" s="40">
        <f t="shared" si="11"/>
        <v>0</v>
      </c>
    </row>
    <row r="61" spans="2:12" s="4" customFormat="1" x14ac:dyDescent="0.2">
      <c r="B61" s="5" t="s">
        <v>62</v>
      </c>
      <c r="C61" s="5"/>
      <c r="D61" s="5"/>
    </row>
    <row r="63" spans="2:12" x14ac:dyDescent="0.2">
      <c r="B63" s="56" t="s">
        <v>255</v>
      </c>
      <c r="C63" s="56">
        <v>1.3</v>
      </c>
      <c r="L63" s="61" t="s">
        <v>147</v>
      </c>
    </row>
    <row r="65" spans="2:10" x14ac:dyDescent="0.2">
      <c r="B65" s="24" t="s">
        <v>256</v>
      </c>
      <c r="C65" s="14"/>
      <c r="D65" s="14">
        <f t="shared" ref="D65:J65" si="12">D37</f>
        <v>30</v>
      </c>
      <c r="E65" s="14">
        <f t="shared" si="12"/>
        <v>58</v>
      </c>
      <c r="F65" s="14">
        <f t="shared" si="12"/>
        <v>68</v>
      </c>
      <c r="G65" s="14">
        <f t="shared" si="12"/>
        <v>80.714285714285666</v>
      </c>
      <c r="H65" s="14">
        <f t="shared" si="12"/>
        <v>80.714285714285666</v>
      </c>
      <c r="I65" s="14">
        <f t="shared" si="12"/>
        <v>80.714285714285666</v>
      </c>
      <c r="J65" s="14">
        <f t="shared" si="12"/>
        <v>80.714285714285666</v>
      </c>
    </row>
    <row r="66" spans="2:10" x14ac:dyDescent="0.2">
      <c r="B66" s="94" t="s">
        <v>257</v>
      </c>
      <c r="C66" s="23"/>
      <c r="D66" s="23">
        <f t="shared" ref="D66:J66" si="13">D65*1.3</f>
        <v>39</v>
      </c>
      <c r="E66" s="23">
        <f t="shared" si="13"/>
        <v>75.400000000000006</v>
      </c>
      <c r="F66" s="23">
        <f t="shared" si="13"/>
        <v>88.4</v>
      </c>
      <c r="G66" s="23">
        <f t="shared" si="13"/>
        <v>104.92857142857137</v>
      </c>
      <c r="H66" s="23">
        <f t="shared" si="13"/>
        <v>104.92857142857137</v>
      </c>
      <c r="I66" s="23">
        <f t="shared" si="13"/>
        <v>104.92857142857137</v>
      </c>
      <c r="J66" s="23">
        <f t="shared" si="13"/>
        <v>104.92857142857137</v>
      </c>
    </row>
    <row r="67" spans="2:10" x14ac:dyDescent="0.2">
      <c r="B67" s="24"/>
      <c r="D67" s="31"/>
      <c r="E67" s="31"/>
      <c r="F67" s="32"/>
      <c r="G67" s="32"/>
      <c r="H67" s="32"/>
      <c r="I67" s="32"/>
      <c r="J67" s="32"/>
    </row>
    <row r="68" spans="2:10" x14ac:dyDescent="0.2">
      <c r="B68" s="24" t="s">
        <v>258</v>
      </c>
      <c r="D68" s="73">
        <f>D72-D66</f>
        <v>100</v>
      </c>
      <c r="E68" s="73">
        <f>E72-E66</f>
        <v>32.599999999999994</v>
      </c>
      <c r="F68" s="73">
        <f>F69*F70</f>
        <v>89.708513002301515</v>
      </c>
      <c r="G68" s="73">
        <f>G69*G70</f>
        <v>106.35393495510951</v>
      </c>
      <c r="H68" s="73">
        <f>H69*H70</f>
        <v>122.9993569079175</v>
      </c>
      <c r="I68" s="73">
        <f>I69*I70</f>
        <v>139.64477886072549</v>
      </c>
      <c r="J68" s="73">
        <f>J69*J70</f>
        <v>156.29020081353349</v>
      </c>
    </row>
    <row r="69" spans="2:10" x14ac:dyDescent="0.2">
      <c r="B69" s="24" t="s">
        <v>243</v>
      </c>
      <c r="C69" s="14">
        <f t="shared" ref="C69:J69" si="14">C36</f>
        <v>279</v>
      </c>
      <c r="D69" s="14">
        <f t="shared" si="14"/>
        <v>309</v>
      </c>
      <c r="E69" s="14">
        <f t="shared" si="14"/>
        <v>367</v>
      </c>
      <c r="F69" s="14">
        <f t="shared" si="14"/>
        <v>435</v>
      </c>
      <c r="G69" s="14">
        <f t="shared" si="14"/>
        <v>515.71428571428567</v>
      </c>
      <c r="H69" s="14">
        <f t="shared" si="14"/>
        <v>596.42857142857133</v>
      </c>
      <c r="I69" s="14">
        <f t="shared" si="14"/>
        <v>677.142857142857</v>
      </c>
      <c r="J69" s="14">
        <f t="shared" si="14"/>
        <v>757.85714285714266</v>
      </c>
    </row>
    <row r="70" spans="2:10" s="74" customFormat="1" x14ac:dyDescent="0.2">
      <c r="B70" s="75" t="s">
        <v>259</v>
      </c>
      <c r="C70" s="76"/>
      <c r="D70" s="76">
        <f>D68/D69</f>
        <v>0.32362459546925565</v>
      </c>
      <c r="E70" s="76">
        <f>E68/E69</f>
        <v>8.882833787465938E-2</v>
      </c>
      <c r="F70" s="76">
        <f>AVERAGE(D70:E70)</f>
        <v>0.20622646667195751</v>
      </c>
      <c r="G70" s="76">
        <f>$F$70</f>
        <v>0.20622646667195751</v>
      </c>
      <c r="H70" s="76">
        <f>$F$70</f>
        <v>0.20622646667195751</v>
      </c>
      <c r="I70" s="76">
        <f>$F$70</f>
        <v>0.20622646667195751</v>
      </c>
      <c r="J70" s="76">
        <f>$F$70</f>
        <v>0.20622646667195751</v>
      </c>
    </row>
    <row r="71" spans="2:10" s="74" customFormat="1" x14ac:dyDescent="0.2">
      <c r="B71" s="77"/>
    </row>
    <row r="72" spans="2:10" x14ac:dyDescent="0.2">
      <c r="B72" s="1" t="s">
        <v>260</v>
      </c>
      <c r="C72" s="71">
        <v>104</v>
      </c>
      <c r="D72" s="71">
        <v>139</v>
      </c>
      <c r="E72" s="50">
        <v>108</v>
      </c>
      <c r="F72" s="18">
        <f>F68+F66</f>
        <v>178.10851300230152</v>
      </c>
      <c r="G72" s="18">
        <f>G68+G66</f>
        <v>211.28250638368087</v>
      </c>
      <c r="H72" s="18">
        <f>H68+H66</f>
        <v>227.92792833648889</v>
      </c>
      <c r="I72" s="18">
        <f>I68+I66</f>
        <v>244.57335028929685</v>
      </c>
      <c r="J72" s="18">
        <f>J68+J66</f>
        <v>261.21877224210488</v>
      </c>
    </row>
    <row r="74" spans="2:10" s="4" customFormat="1" x14ac:dyDescent="0.2">
      <c r="B74" s="5" t="s">
        <v>74</v>
      </c>
      <c r="C74" s="5"/>
      <c r="D74" s="5"/>
    </row>
    <row r="76" spans="2:10" x14ac:dyDescent="0.2">
      <c r="B76" s="24" t="s">
        <v>26</v>
      </c>
      <c r="C76" s="65">
        <f>'Financial Statements'!C11</f>
        <v>8</v>
      </c>
      <c r="D76" s="65">
        <f>'Financial Statements'!D11</f>
        <v>12</v>
      </c>
      <c r="E76" s="63">
        <f>'Financial Statements'!E11</f>
        <v>13</v>
      </c>
      <c r="F76" s="14">
        <f>F89/F87*F84</f>
        <v>16.517049531559106</v>
      </c>
      <c r="G76" s="33">
        <f>G89/G87*G84</f>
        <v>20.560878899630474</v>
      </c>
      <c r="H76" s="33">
        <f>H89/H87*H84</f>
        <v>24.967798580680075</v>
      </c>
      <c r="I76" s="33">
        <f>I89/I87*I84</f>
        <v>29.682685606267025</v>
      </c>
      <c r="J76" s="33">
        <f>J89/J87*J84</f>
        <v>34.977418933229906</v>
      </c>
    </row>
    <row r="77" spans="2:10" x14ac:dyDescent="0.2">
      <c r="B77" s="24" t="s">
        <v>31</v>
      </c>
      <c r="C77" s="66">
        <f>'Financial Statements'!C12</f>
        <v>5</v>
      </c>
      <c r="D77" s="66">
        <f>'Financial Statements'!D12</f>
        <v>6</v>
      </c>
      <c r="E77" s="67">
        <f>'Financial Statements'!E12</f>
        <v>8</v>
      </c>
      <c r="F77" s="14">
        <f>F90/F87*F85</f>
        <v>9.7129724025769786</v>
      </c>
      <c r="G77" s="14">
        <f>G90/G87*G85</f>
        <v>11.860202881486595</v>
      </c>
      <c r="H77" s="14">
        <f>H90/H87*H85</f>
        <v>14.135370263257068</v>
      </c>
      <c r="I77" s="14">
        <f>I90/I87*I85</f>
        <v>16.502493761752131</v>
      </c>
      <c r="J77" s="14">
        <f>J90/J87*J85</f>
        <v>19.10704514783647</v>
      </c>
    </row>
    <row r="78" spans="2:10" x14ac:dyDescent="0.2">
      <c r="B78" s="11" t="s">
        <v>261</v>
      </c>
      <c r="C78" s="68">
        <f t="shared" ref="C78:J78" si="15">SUM(C76:C77)</f>
        <v>13</v>
      </c>
      <c r="D78" s="68">
        <f t="shared" si="15"/>
        <v>18</v>
      </c>
      <c r="E78" s="68">
        <f t="shared" si="15"/>
        <v>21</v>
      </c>
      <c r="F78" s="15">
        <f t="shared" si="15"/>
        <v>26.230021934136083</v>
      </c>
      <c r="G78" s="15">
        <f t="shared" si="15"/>
        <v>32.421081781117067</v>
      </c>
      <c r="H78" s="15">
        <f t="shared" si="15"/>
        <v>39.103168843937141</v>
      </c>
      <c r="I78" s="15">
        <f t="shared" si="15"/>
        <v>46.185179368019156</v>
      </c>
      <c r="J78" s="15">
        <f t="shared" si="15"/>
        <v>54.084464081066372</v>
      </c>
    </row>
    <row r="80" spans="2:10" x14ac:dyDescent="0.2">
      <c r="B80" s="24" t="s">
        <v>42</v>
      </c>
      <c r="C80" s="63">
        <f>'Financial Statements'!C28</f>
        <v>14</v>
      </c>
      <c r="D80" s="63">
        <f>'Financial Statements'!D28</f>
        <v>17</v>
      </c>
      <c r="E80" s="63">
        <f>'Financial Statements'!E28</f>
        <v>26</v>
      </c>
      <c r="F80" s="14">
        <f>F91/F87*F85</f>
        <v>31.567160308375179</v>
      </c>
      <c r="G80" s="14">
        <f>G91/G87*G85</f>
        <v>38.545659364831437</v>
      </c>
      <c r="H80" s="14">
        <f>H91/H87*H85</f>
        <v>45.939953355585466</v>
      </c>
      <c r="I80" s="14">
        <f>I91/I87*I85</f>
        <v>53.633104725694423</v>
      </c>
      <c r="J80" s="14">
        <f>J91/J87*J85</f>
        <v>62.097896730468527</v>
      </c>
    </row>
    <row r="81" spans="2:10" x14ac:dyDescent="0.2">
      <c r="B81" s="24" t="s">
        <v>41</v>
      </c>
      <c r="C81" s="63">
        <f>'Financial Statements'!C29</f>
        <v>40</v>
      </c>
      <c r="D81" s="63">
        <f>'Financial Statements'!D29</f>
        <v>59</v>
      </c>
      <c r="E81" s="63">
        <f>'Financial Statements'!E29</f>
        <v>70</v>
      </c>
      <c r="F81" s="14">
        <f>F92*F84</f>
        <v>88.694959128065406</v>
      </c>
      <c r="G81" s="14">
        <f>G92*G84</f>
        <v>110.40993188010899</v>
      </c>
      <c r="H81" s="14">
        <f>H92*H84</f>
        <v>134.07466450953677</v>
      </c>
      <c r="I81" s="14">
        <f>I92*I84</f>
        <v>159.82984557220706</v>
      </c>
      <c r="J81" s="14">
        <f>J92*J84</f>
        <v>187.82535807987054</v>
      </c>
    </row>
    <row r="82" spans="2:10" x14ac:dyDescent="0.2">
      <c r="B82" s="11" t="s">
        <v>262</v>
      </c>
      <c r="C82" s="68">
        <f t="shared" ref="C82:J82" si="16">SUM(C80:C81)</f>
        <v>54</v>
      </c>
      <c r="D82" s="68">
        <f t="shared" si="16"/>
        <v>76</v>
      </c>
      <c r="E82" s="68">
        <f t="shared" si="16"/>
        <v>96</v>
      </c>
      <c r="F82" s="15">
        <f t="shared" si="16"/>
        <v>120.26211943644059</v>
      </c>
      <c r="G82" s="15">
        <f t="shared" si="16"/>
        <v>148.95559124494042</v>
      </c>
      <c r="H82" s="15">
        <f t="shared" si="16"/>
        <v>180.01461786512223</v>
      </c>
      <c r="I82" s="15">
        <f t="shared" si="16"/>
        <v>213.4629502979015</v>
      </c>
      <c r="J82" s="15">
        <f t="shared" si="16"/>
        <v>249.92325481033907</v>
      </c>
    </row>
    <row r="84" spans="2:10" s="98" customFormat="1" x14ac:dyDescent="0.2">
      <c r="B84" s="98" t="s">
        <v>1</v>
      </c>
      <c r="C84" s="67">
        <f>'Financial Statements'!C84</f>
        <v>564</v>
      </c>
      <c r="D84" s="67">
        <f>'Financial Statements'!D84</f>
        <v>729</v>
      </c>
      <c r="E84" s="67">
        <f>'Financial Statements'!E84</f>
        <v>964</v>
      </c>
      <c r="F84" s="67">
        <f>'Financial Statements'!F84</f>
        <v>1221.4562942779291</v>
      </c>
      <c r="G84" s="67">
        <f>'Financial Statements'!G84</f>
        <v>1520.5024904632151</v>
      </c>
      <c r="H84" s="67">
        <f>'Financial Statements'!H84</f>
        <v>1846.3996655313347</v>
      </c>
      <c r="I84" s="67">
        <f>'Financial Statements'!I84</f>
        <v>2201.0853018801085</v>
      </c>
      <c r="J84" s="67">
        <f>'Financial Statements'!J84</f>
        <v>2586.6235026999311</v>
      </c>
    </row>
    <row r="85" spans="2:10" s="98" customFormat="1" x14ac:dyDescent="0.2">
      <c r="B85" s="98" t="s">
        <v>19</v>
      </c>
      <c r="C85" s="67">
        <f>-'Financial Statements'!C90</f>
        <v>466</v>
      </c>
      <c r="D85" s="67">
        <f>-'Financial Statements'!D90</f>
        <v>548</v>
      </c>
      <c r="E85" s="67">
        <f>-'Financial Statements'!E90</f>
        <v>722</v>
      </c>
      <c r="F85" s="67">
        <f>-'Financial Statements'!F90</f>
        <v>874.20068895188217</v>
      </c>
      <c r="G85" s="67">
        <f>-'Financial Statements'!G90</f>
        <v>1067.4587654911757</v>
      </c>
      <c r="H85" s="67">
        <f>-'Financial Statements'!H90</f>
        <v>1272.2316002309203</v>
      </c>
      <c r="I85" s="67">
        <f>-'Financial Statements'!I90</f>
        <v>1489.3500619981296</v>
      </c>
      <c r="J85" s="67">
        <f>-'Financial Statements'!J90</f>
        <v>1719.6993196070166</v>
      </c>
    </row>
    <row r="87" spans="2:10" x14ac:dyDescent="0.2">
      <c r="B87" s="56" t="s">
        <v>75</v>
      </c>
      <c r="C87" s="53">
        <v>365</v>
      </c>
      <c r="D87" s="53">
        <v>365</v>
      </c>
      <c r="E87" s="53">
        <v>366</v>
      </c>
      <c r="F87" s="53">
        <v>365</v>
      </c>
      <c r="G87" s="53">
        <v>365</v>
      </c>
      <c r="H87" s="53">
        <v>365</v>
      </c>
      <c r="I87" s="53">
        <v>366</v>
      </c>
      <c r="J87" s="53">
        <v>365</v>
      </c>
    </row>
    <row r="88" spans="2:10" x14ac:dyDescent="0.2">
      <c r="E88" s="14"/>
      <c r="F88" s="14"/>
      <c r="G88" s="14"/>
      <c r="H88" s="14"/>
      <c r="I88" s="14"/>
      <c r="J88" s="14"/>
    </row>
    <row r="89" spans="2:10" x14ac:dyDescent="0.2">
      <c r="B89" t="s">
        <v>263</v>
      </c>
      <c r="C89" s="14">
        <f>C76/C84*C87</f>
        <v>5.1773049645390072</v>
      </c>
      <c r="D89" s="14">
        <f>D76/D84*D87</f>
        <v>6.0082304526748977</v>
      </c>
      <c r="E89" s="14">
        <f>E76/E84*E87</f>
        <v>4.9356846473029048</v>
      </c>
      <c r="F89" s="14">
        <f>$E$89</f>
        <v>4.9356846473029048</v>
      </c>
      <c r="G89" s="14">
        <f>$E$89</f>
        <v>4.9356846473029048</v>
      </c>
      <c r="H89" s="14">
        <f>$E$89</f>
        <v>4.9356846473029048</v>
      </c>
      <c r="I89" s="14">
        <f>$E$89</f>
        <v>4.9356846473029048</v>
      </c>
      <c r="J89" s="14">
        <f>$E$89</f>
        <v>4.9356846473029048</v>
      </c>
    </row>
    <row r="90" spans="2:10" x14ac:dyDescent="0.2">
      <c r="B90" t="s">
        <v>264</v>
      </c>
      <c r="C90" s="14">
        <f>C77/C85*C87</f>
        <v>3.9163090128755367</v>
      </c>
      <c r="D90" s="14">
        <f>D77/D85*D87</f>
        <v>3.9963503649635039</v>
      </c>
      <c r="E90" s="14">
        <f>E77/E85*E87</f>
        <v>4.0554016620498619</v>
      </c>
      <c r="F90" s="14">
        <f>$E$90</f>
        <v>4.0554016620498619</v>
      </c>
      <c r="G90" s="14">
        <f>$E$90</f>
        <v>4.0554016620498619</v>
      </c>
      <c r="H90" s="14">
        <f>$E$90</f>
        <v>4.0554016620498619</v>
      </c>
      <c r="I90" s="14">
        <f>$E$90</f>
        <v>4.0554016620498619</v>
      </c>
      <c r="J90" s="14">
        <f>$E$90</f>
        <v>4.0554016620498619</v>
      </c>
    </row>
    <row r="91" spans="2:10" x14ac:dyDescent="0.2">
      <c r="B91" t="s">
        <v>265</v>
      </c>
      <c r="C91" s="14">
        <f>C80/C85*C87</f>
        <v>10.965665236051501</v>
      </c>
      <c r="D91" s="14">
        <f>D80/D85*D87</f>
        <v>11.322992700729927</v>
      </c>
      <c r="E91" s="14">
        <f>E80/E85*E87</f>
        <v>13.180055401662051</v>
      </c>
      <c r="F91" s="14">
        <f>$E$91</f>
        <v>13.180055401662051</v>
      </c>
      <c r="G91" s="14">
        <f>$E$91</f>
        <v>13.180055401662051</v>
      </c>
      <c r="H91" s="14">
        <f>$E$91</f>
        <v>13.180055401662051</v>
      </c>
      <c r="I91" s="14">
        <f>$E$91</f>
        <v>13.180055401662051</v>
      </c>
      <c r="J91" s="14">
        <f>$E$91</f>
        <v>13.180055401662051</v>
      </c>
    </row>
    <row r="92" spans="2:10" x14ac:dyDescent="0.2">
      <c r="B92" t="s">
        <v>76</v>
      </c>
      <c r="C92" s="31">
        <f>C81/C84</f>
        <v>7.0921985815602842E-2</v>
      </c>
      <c r="D92" s="31">
        <f>D81/D84</f>
        <v>8.0932784636488342E-2</v>
      </c>
      <c r="E92" s="31">
        <f>E81/E84</f>
        <v>7.2614107883817433E-2</v>
      </c>
      <c r="F92" s="32">
        <f>$E$92</f>
        <v>7.2614107883817433E-2</v>
      </c>
      <c r="G92" s="32">
        <f>$E$92</f>
        <v>7.2614107883817433E-2</v>
      </c>
      <c r="H92" s="32">
        <f>$E$92</f>
        <v>7.2614107883817433E-2</v>
      </c>
      <c r="I92" s="32">
        <f>$E$92</f>
        <v>7.2614107883817433E-2</v>
      </c>
      <c r="J92" s="32">
        <f>$E$92</f>
        <v>7.2614107883817433E-2</v>
      </c>
    </row>
    <row r="93" spans="2:10" x14ac:dyDescent="0.2">
      <c r="E93" s="14"/>
      <c r="F93" s="14"/>
      <c r="G93" s="14"/>
      <c r="H93" s="14"/>
      <c r="I93" s="14"/>
      <c r="J93" s="14"/>
    </row>
    <row r="94" spans="2:10" s="4" customFormat="1" x14ac:dyDescent="0.2">
      <c r="B94" s="5" t="s">
        <v>77</v>
      </c>
      <c r="C94" s="5"/>
      <c r="D94" s="5"/>
      <c r="E94" s="34"/>
      <c r="F94" s="34"/>
      <c r="G94" s="34"/>
      <c r="H94" s="34"/>
      <c r="I94" s="34"/>
      <c r="J94" s="34"/>
    </row>
    <row r="96" spans="2:10" x14ac:dyDescent="0.2">
      <c r="B96" s="24" t="s">
        <v>266</v>
      </c>
      <c r="C96" s="63">
        <f>'Financial Statements'!C107</f>
        <v>-43</v>
      </c>
      <c r="D96" s="63">
        <f>'Financial Statements'!D107</f>
        <v>-48</v>
      </c>
      <c r="E96" s="63">
        <f>'Financial Statements'!E107</f>
        <v>-61</v>
      </c>
      <c r="F96" s="14">
        <f ca="1">-E101*F102</f>
        <v>-145.56426656934116</v>
      </c>
      <c r="G96" s="14">
        <f ca="1">-F101*G102</f>
        <v>-141.48447687735111</v>
      </c>
      <c r="H96" s="14">
        <f ca="1">-G101*H102</f>
        <v>-142.99275464636645</v>
      </c>
      <c r="I96" s="14">
        <f ca="1">-H101*I102</f>
        <v>-146.77160404295074</v>
      </c>
      <c r="J96" s="14">
        <f ca="1">-I101*J102</f>
        <v>-152.48043932296855</v>
      </c>
    </row>
    <row r="97" spans="2:11" x14ac:dyDescent="0.2">
      <c r="B97" s="24" t="s">
        <v>267</v>
      </c>
      <c r="C97" s="67">
        <v>0</v>
      </c>
      <c r="D97" s="67">
        <v>0</v>
      </c>
      <c r="E97" s="67">
        <v>0</v>
      </c>
      <c r="F97" s="14">
        <f ca="1">-$C$110</f>
        <v>-59.742844379560779</v>
      </c>
      <c r="G97" s="14">
        <f ca="1">-$C$110</f>
        <v>-59.742844379560779</v>
      </c>
      <c r="H97" s="14">
        <f ca="1">-$C$110</f>
        <v>-59.742844379560779</v>
      </c>
      <c r="I97" s="14">
        <f ca="1">-$C$110</f>
        <v>-59.742844379560779</v>
      </c>
      <c r="J97" s="14">
        <f ca="1">-$C$110</f>
        <v>-59.742844379560779</v>
      </c>
    </row>
    <row r="98" spans="2:11" x14ac:dyDescent="0.2">
      <c r="B98" s="24" t="s">
        <v>15</v>
      </c>
      <c r="C98" s="67">
        <v>0</v>
      </c>
      <c r="D98" s="67">
        <v>0</v>
      </c>
      <c r="E98" s="67">
        <v>0</v>
      </c>
      <c r="F98" s="14">
        <f>-$C$106</f>
        <v>-5.7840000000000007</v>
      </c>
      <c r="G98" s="14">
        <f>-$C$106</f>
        <v>-5.7840000000000007</v>
      </c>
      <c r="H98" s="14">
        <f>-$C$106</f>
        <v>-5.7840000000000007</v>
      </c>
      <c r="I98" s="14">
        <f>-$C$106</f>
        <v>-5.7840000000000007</v>
      </c>
      <c r="J98" s="14">
        <f>-$C$106</f>
        <v>-5.7840000000000007</v>
      </c>
    </row>
    <row r="99" spans="2:11" x14ac:dyDescent="0.2">
      <c r="B99" s="11" t="s">
        <v>78</v>
      </c>
      <c r="C99" s="68">
        <f t="shared" ref="C99:J99" si="17">SUM(C96:C98)</f>
        <v>-43</v>
      </c>
      <c r="D99" s="68">
        <f t="shared" si="17"/>
        <v>-48</v>
      </c>
      <c r="E99" s="68">
        <f t="shared" si="17"/>
        <v>-61</v>
      </c>
      <c r="F99" s="15">
        <f t="shared" ca="1" si="17"/>
        <v>-211.09111094890193</v>
      </c>
      <c r="G99" s="15">
        <f t="shared" ca="1" si="17"/>
        <v>-207.01132125691188</v>
      </c>
      <c r="H99" s="15">
        <f t="shared" ca="1" si="17"/>
        <v>-208.51959902592722</v>
      </c>
      <c r="I99" s="15">
        <f t="shared" ca="1" si="17"/>
        <v>-212.29844842251151</v>
      </c>
      <c r="J99" s="15">
        <f t="shared" ca="1" si="17"/>
        <v>-218.00728370252932</v>
      </c>
    </row>
    <row r="100" spans="2:11" x14ac:dyDescent="0.2">
      <c r="C100" s="14"/>
      <c r="D100" s="14"/>
      <c r="E100" s="14"/>
      <c r="F100" s="14"/>
      <c r="G100" s="14"/>
      <c r="H100" s="14"/>
      <c r="I100" s="14"/>
      <c r="J100" s="14"/>
    </row>
    <row r="101" spans="2:11" x14ac:dyDescent="0.2">
      <c r="B101" t="s">
        <v>33</v>
      </c>
      <c r="C101" s="63">
        <f>'Financial Statements'!C16</f>
        <v>243</v>
      </c>
      <c r="D101" s="63">
        <f>'Financial Statements'!D16</f>
        <v>331</v>
      </c>
      <c r="E101" s="63">
        <f ca="1">'Financial Statements'!E16</f>
        <v>970.42844379560779</v>
      </c>
      <c r="F101" s="14">
        <f ca="1">F120</f>
        <v>943.22984584900746</v>
      </c>
      <c r="G101" s="14">
        <f ca="1">G120</f>
        <v>953.28503097577641</v>
      </c>
      <c r="H101" s="14">
        <f ca="1">H120</f>
        <v>978.47736028633824</v>
      </c>
      <c r="I101" s="14">
        <f ca="1">I120</f>
        <v>1016.5362621531236</v>
      </c>
      <c r="J101" s="14">
        <f ca="1">J120</f>
        <v>1065.531750692699</v>
      </c>
    </row>
    <row r="102" spans="2:11" x14ac:dyDescent="0.2">
      <c r="B102" t="s">
        <v>268</v>
      </c>
      <c r="C102" s="32"/>
      <c r="D102" s="32">
        <f>-D99/C101</f>
        <v>0.19753086419753085</v>
      </c>
      <c r="E102" s="32">
        <f>-E99/D101</f>
        <v>0.18429003021148035</v>
      </c>
      <c r="F102" s="57">
        <v>0.15</v>
      </c>
      <c r="G102" s="57">
        <v>0.15</v>
      </c>
      <c r="H102" s="57">
        <v>0.15</v>
      </c>
      <c r="I102" s="57">
        <v>0.15</v>
      </c>
      <c r="J102" s="57">
        <v>0.15</v>
      </c>
      <c r="K102" s="57"/>
    </row>
    <row r="103" spans="2:11" x14ac:dyDescent="0.2">
      <c r="C103" s="32"/>
      <c r="D103" s="32"/>
      <c r="E103" s="32"/>
      <c r="F103" s="32"/>
      <c r="G103" s="32"/>
      <c r="H103" s="32"/>
      <c r="I103" s="32"/>
      <c r="J103" s="32"/>
      <c r="K103" s="57"/>
    </row>
    <row r="104" spans="2:11" x14ac:dyDescent="0.2">
      <c r="B104" s="82" t="s">
        <v>15</v>
      </c>
      <c r="C104" s="63">
        <f>'Financial Statements'!E22</f>
        <v>57.84</v>
      </c>
      <c r="D104" s="24"/>
    </row>
    <row r="105" spans="2:11" s="56" customFormat="1" x14ac:dyDescent="0.2">
      <c r="B105" s="81" t="s">
        <v>79</v>
      </c>
      <c r="C105" s="53">
        <f>Assumptions!C43</f>
        <v>10</v>
      </c>
      <c r="D105" s="81"/>
    </row>
    <row r="106" spans="2:11" x14ac:dyDescent="0.2">
      <c r="B106" s="11" t="s">
        <v>269</v>
      </c>
      <c r="C106" s="15">
        <f>C104/C105</f>
        <v>5.7840000000000007</v>
      </c>
      <c r="D106" s="1"/>
    </row>
    <row r="108" spans="2:11" x14ac:dyDescent="0.2">
      <c r="B108" s="82" t="s">
        <v>80</v>
      </c>
      <c r="C108" s="63">
        <f ca="1">C13</f>
        <v>597.42844379560779</v>
      </c>
      <c r="D108" s="24"/>
    </row>
    <row r="109" spans="2:11" s="56" customFormat="1" x14ac:dyDescent="0.2">
      <c r="B109" s="81" t="s">
        <v>79</v>
      </c>
      <c r="C109" s="53">
        <f>Assumptions!C51</f>
        <v>10</v>
      </c>
      <c r="D109" s="81"/>
    </row>
    <row r="110" spans="2:11" x14ac:dyDescent="0.2">
      <c r="B110" s="11" t="s">
        <v>267</v>
      </c>
      <c r="C110" s="15">
        <f ca="1">C108/C109</f>
        <v>59.742844379560779</v>
      </c>
      <c r="D110" s="1"/>
    </row>
    <row r="111" spans="2:11" x14ac:dyDescent="0.2">
      <c r="B111" s="1"/>
      <c r="C111" s="1"/>
      <c r="D111" s="1"/>
      <c r="E111" s="18"/>
    </row>
    <row r="112" spans="2:11" x14ac:dyDescent="0.2">
      <c r="B112" s="13" t="s">
        <v>15</v>
      </c>
      <c r="C112" s="53">
        <v>0</v>
      </c>
      <c r="D112" s="53">
        <v>0</v>
      </c>
      <c r="E112" s="14">
        <f>C104</f>
        <v>57.84</v>
      </c>
      <c r="F112" s="14">
        <f>E112-$C$106</f>
        <v>52.056000000000004</v>
      </c>
      <c r="G112" s="14">
        <f>F112-$C$106</f>
        <v>46.272000000000006</v>
      </c>
      <c r="H112" s="14">
        <f>G112-$C$106</f>
        <v>40.488000000000007</v>
      </c>
      <c r="I112" s="14">
        <f>H112-$C$106</f>
        <v>34.704000000000008</v>
      </c>
      <c r="J112" s="14">
        <f>I112-$C$106</f>
        <v>28.920000000000009</v>
      </c>
    </row>
    <row r="113" spans="2:11" x14ac:dyDescent="0.2">
      <c r="B113" s="13"/>
      <c r="C113" s="14"/>
      <c r="D113" s="14"/>
      <c r="E113" s="14"/>
      <c r="F113" s="14"/>
      <c r="G113" s="14"/>
      <c r="H113" s="14"/>
      <c r="I113" s="14"/>
      <c r="J113" s="14"/>
    </row>
    <row r="114" spans="2:11" s="4" customFormat="1" x14ac:dyDescent="0.2">
      <c r="B114" s="5" t="s">
        <v>82</v>
      </c>
      <c r="C114" s="5"/>
      <c r="D114" s="5"/>
      <c r="E114" s="35"/>
    </row>
    <row r="115" spans="2:11" x14ac:dyDescent="0.2">
      <c r="B115" s="1"/>
      <c r="C115" s="1"/>
      <c r="D115" s="1"/>
      <c r="E115" s="18"/>
    </row>
    <row r="116" spans="2:11" x14ac:dyDescent="0.2">
      <c r="B116" s="13" t="s">
        <v>83</v>
      </c>
      <c r="C116" s="13"/>
      <c r="D116" s="13"/>
      <c r="E116" s="33"/>
      <c r="F116" s="33">
        <f ca="1">E120</f>
        <v>970.42844379560779</v>
      </c>
      <c r="G116" s="33">
        <f ca="1">F120</f>
        <v>943.22984584900746</v>
      </c>
      <c r="H116" s="33">
        <f ca="1">G120</f>
        <v>953.28503097577641</v>
      </c>
      <c r="I116" s="33">
        <f ca="1">H120</f>
        <v>978.47736028633824</v>
      </c>
      <c r="J116" s="33">
        <f ca="1">I120</f>
        <v>1016.5362621531236</v>
      </c>
      <c r="K116" s="33"/>
    </row>
    <row r="117" spans="2:11" x14ac:dyDescent="0.2">
      <c r="B117" s="36" t="s">
        <v>84</v>
      </c>
      <c r="C117" s="36"/>
      <c r="D117" s="36"/>
      <c r="E117" s="33"/>
      <c r="F117" s="33">
        <f>F72</f>
        <v>178.10851300230152</v>
      </c>
      <c r="G117" s="33">
        <f>G72</f>
        <v>211.28250638368087</v>
      </c>
      <c r="H117" s="33">
        <f>H72</f>
        <v>227.92792833648889</v>
      </c>
      <c r="I117" s="33">
        <f>I72</f>
        <v>244.57335028929685</v>
      </c>
      <c r="J117" s="33">
        <f>J72</f>
        <v>261.21877224210488</v>
      </c>
    </row>
    <row r="118" spans="2:11" x14ac:dyDescent="0.2">
      <c r="B118" s="36" t="s">
        <v>85</v>
      </c>
      <c r="C118" s="36"/>
      <c r="D118" s="36"/>
      <c r="E118" s="33"/>
      <c r="F118" s="33">
        <f t="shared" ref="F118:J119" ca="1" si="18">F96</f>
        <v>-145.56426656934116</v>
      </c>
      <c r="G118" s="33">
        <f t="shared" ca="1" si="18"/>
        <v>-141.48447687735111</v>
      </c>
      <c r="H118" s="33">
        <f t="shared" ca="1" si="18"/>
        <v>-142.99275464636645</v>
      </c>
      <c r="I118" s="33">
        <f t="shared" ca="1" si="18"/>
        <v>-146.77160404295074</v>
      </c>
      <c r="J118" s="33">
        <f t="shared" ca="1" si="18"/>
        <v>-152.48043932296855</v>
      </c>
    </row>
    <row r="119" spans="2:11" x14ac:dyDescent="0.2">
      <c r="B119" s="36" t="s">
        <v>86</v>
      </c>
      <c r="C119" s="36"/>
      <c r="D119" s="36"/>
      <c r="E119" s="33"/>
      <c r="F119" s="33">
        <f t="shared" ca="1" si="18"/>
        <v>-59.742844379560779</v>
      </c>
      <c r="G119" s="33">
        <f t="shared" ca="1" si="18"/>
        <v>-59.742844379560779</v>
      </c>
      <c r="H119" s="33">
        <f t="shared" ca="1" si="18"/>
        <v>-59.742844379560779</v>
      </c>
      <c r="I119" s="33">
        <f t="shared" ca="1" si="18"/>
        <v>-59.742844379560779</v>
      </c>
      <c r="J119" s="33">
        <f t="shared" ca="1" si="18"/>
        <v>-59.742844379560779</v>
      </c>
      <c r="K119" s="33"/>
    </row>
    <row r="120" spans="2:11" x14ac:dyDescent="0.2">
      <c r="B120" s="11" t="s">
        <v>87</v>
      </c>
      <c r="C120" s="11"/>
      <c r="D120" s="11"/>
      <c r="E120" s="68">
        <f ca="1">'Financial Statements'!E16</f>
        <v>970.42844379560779</v>
      </c>
      <c r="F120" s="15">
        <f ca="1">SUM(F116:F119)</f>
        <v>943.22984584900746</v>
      </c>
      <c r="G120" s="15">
        <f ca="1">SUM(G116:G119)</f>
        <v>953.28503097577641</v>
      </c>
      <c r="H120" s="15">
        <f ca="1">SUM(H116:H119)</f>
        <v>978.47736028633824</v>
      </c>
      <c r="I120" s="15">
        <f ca="1">SUM(I116:I119)</f>
        <v>1016.5362621531236</v>
      </c>
      <c r="J120" s="15">
        <f ca="1">SUM(J116:J119)</f>
        <v>1065.531750692699</v>
      </c>
    </row>
    <row r="121" spans="2:11" x14ac:dyDescent="0.2">
      <c r="B121" s="1"/>
      <c r="C121" s="1"/>
      <c r="D121" s="1"/>
      <c r="E121" s="18"/>
      <c r="F121" s="18"/>
      <c r="G121" s="18"/>
      <c r="H121" s="18"/>
      <c r="I121" s="18"/>
      <c r="J121" s="18"/>
    </row>
    <row r="122" spans="2:11" s="4" customFormat="1" x14ac:dyDescent="0.2">
      <c r="B122" s="5" t="s">
        <v>81</v>
      </c>
      <c r="C122" s="5"/>
      <c r="D122" s="5"/>
    </row>
    <row r="124" spans="2:11" x14ac:dyDescent="0.2">
      <c r="B124" s="1" t="s">
        <v>11</v>
      </c>
      <c r="C124" s="1"/>
      <c r="D124" s="1"/>
    </row>
    <row r="126" spans="2:11" s="72" customFormat="1" x14ac:dyDescent="0.2">
      <c r="B126" s="82" t="s">
        <v>88</v>
      </c>
      <c r="C126" s="82"/>
      <c r="D126" s="82"/>
      <c r="F126" s="63">
        <f ca="1">'Financial Statements'!F66</f>
        <v>-341.01764398609663</v>
      </c>
      <c r="G126" s="63">
        <f ca="1">'Financial Statements'!G66</f>
        <v>-309.04581632063429</v>
      </c>
      <c r="H126" s="63">
        <f ca="1">'Financial Statements'!H66</f>
        <v>-253.26890875906128</v>
      </c>
      <c r="I126" s="63">
        <f ca="1">'Financial Statements'!I66</f>
        <v>-210.60767043856566</v>
      </c>
      <c r="J126" s="63">
        <f ca="1">'Financial Statements'!J66</f>
        <v>-141.3945110810341</v>
      </c>
    </row>
    <row r="127" spans="2:11" x14ac:dyDescent="0.2">
      <c r="B127" s="24" t="s">
        <v>91</v>
      </c>
      <c r="C127" s="24"/>
      <c r="D127" s="24"/>
      <c r="F127" s="14">
        <f>'Financial Statements'!E10</f>
        <v>100</v>
      </c>
      <c r="G127" s="14">
        <f ca="1">F208</f>
        <v>100</v>
      </c>
      <c r="H127" s="14">
        <f ca="1">G208</f>
        <v>100</v>
      </c>
      <c r="I127" s="14">
        <f ca="1">H208</f>
        <v>100</v>
      </c>
      <c r="J127" s="14">
        <f ca="1">I208</f>
        <v>100</v>
      </c>
      <c r="K127" s="14"/>
    </row>
    <row r="128" spans="2:11" s="72" customFormat="1" x14ac:dyDescent="0.2">
      <c r="B128" s="82" t="s">
        <v>92</v>
      </c>
      <c r="C128" s="82"/>
      <c r="D128" s="82"/>
      <c r="E128" s="63"/>
      <c r="F128" s="63">
        <f>-Assumptions!$C$22</f>
        <v>-100</v>
      </c>
      <c r="G128" s="63">
        <f>-Assumptions!$C$22</f>
        <v>-100</v>
      </c>
      <c r="H128" s="63">
        <f>-Assumptions!$C$22</f>
        <v>-100</v>
      </c>
      <c r="I128" s="63">
        <f>-Assumptions!$C$22</f>
        <v>-100</v>
      </c>
      <c r="J128" s="63">
        <f>-Assumptions!$C$22</f>
        <v>-100</v>
      </c>
    </row>
    <row r="129" spans="2:10" x14ac:dyDescent="0.2">
      <c r="B129" s="24" t="s">
        <v>89</v>
      </c>
      <c r="C129" s="24"/>
      <c r="D129" s="24"/>
      <c r="F129" s="14">
        <f>F155+F170</f>
        <v>-231.36</v>
      </c>
      <c r="G129" s="14">
        <f ca="1">G155+G170</f>
        <v>-230.58880000000002</v>
      </c>
      <c r="H129" s="14">
        <f ca="1">H155+H170</f>
        <v>-240.62571632641271</v>
      </c>
      <c r="I129" s="14">
        <f ca="1">I155+I170</f>
        <v>-249.54709450159393</v>
      </c>
      <c r="J129" s="14">
        <f ca="1">J155+J170</f>
        <v>-249.50505810996813</v>
      </c>
    </row>
    <row r="130" spans="2:10" x14ac:dyDescent="0.2">
      <c r="B130" s="11" t="s">
        <v>90</v>
      </c>
      <c r="C130" s="11"/>
      <c r="D130" s="11"/>
      <c r="E130" s="12"/>
      <c r="F130" s="15">
        <f ca="1">SUM(F126:F129)</f>
        <v>-572.3776439860967</v>
      </c>
      <c r="G130" s="15">
        <f ca="1">SUM(G126:G129)</f>
        <v>-539.63461632063434</v>
      </c>
      <c r="H130" s="15">
        <f ca="1">SUM(H126:H129)</f>
        <v>-493.89462508547399</v>
      </c>
      <c r="I130" s="15">
        <f ca="1">SUM(I126:I129)</f>
        <v>-460.15476494015957</v>
      </c>
      <c r="J130" s="15">
        <f ca="1">SUM(J126:J129)</f>
        <v>-390.89956919100223</v>
      </c>
    </row>
    <row r="132" spans="2:10" x14ac:dyDescent="0.2">
      <c r="B132" t="s">
        <v>99</v>
      </c>
      <c r="F132" s="14">
        <f>'Financial Statements'!E36</f>
        <v>482</v>
      </c>
      <c r="G132" s="14">
        <f ca="1">F135</f>
        <v>964</v>
      </c>
      <c r="H132" s="14">
        <f ca="1">G135</f>
        <v>964</v>
      </c>
      <c r="I132" s="14">
        <f ca="1">H135</f>
        <v>964</v>
      </c>
      <c r="J132" s="14">
        <f ca="1">I135</f>
        <v>964</v>
      </c>
    </row>
    <row r="133" spans="2:10" x14ac:dyDescent="0.2">
      <c r="B133" s="24" t="s">
        <v>96</v>
      </c>
      <c r="C133" s="24"/>
      <c r="D133" s="24"/>
      <c r="F133" s="14">
        <f ca="1">IF(F130&gt;=0,0,IF(F132-F130&gt;Assumptions!$J$37,Assumptions!$J$37-F132,-F130))</f>
        <v>482</v>
      </c>
      <c r="G133" s="14">
        <f ca="1">IF(G130&gt;=0,0,IF(G132-G130&gt;Assumptions!$J$37,Assumptions!$J$37-G132,-G130))</f>
        <v>0</v>
      </c>
      <c r="H133" s="14">
        <f ca="1">IF(H130&gt;=0,0,IF(H132-H130&gt;Assumptions!$J$37,Assumptions!$J$37-H132,-H130))</f>
        <v>0</v>
      </c>
      <c r="I133" s="14">
        <f ca="1">IF(I130&gt;=0,0,IF(I132-I130&gt;Assumptions!$J$37,Assumptions!$J$37-I132,-I130))</f>
        <v>0</v>
      </c>
      <c r="J133" s="14">
        <f ca="1">IF(J130&gt;=0,0,IF(J132-J130&gt;Assumptions!$J$37,Assumptions!$J$37-J132,-J130))</f>
        <v>0</v>
      </c>
    </row>
    <row r="134" spans="2:10" x14ac:dyDescent="0.2">
      <c r="B134" s="24" t="s">
        <v>97</v>
      </c>
      <c r="C134" s="24"/>
      <c r="D134" s="24"/>
      <c r="F134" s="14">
        <f ca="1">-IF(F133=0,IF(F130&gt;F132,F132,IF(F130&lt;0,0,F130)),0)</f>
        <v>0</v>
      </c>
      <c r="G134" s="14">
        <f ca="1">-IF(G133=0,IF(G130&gt;G132,G132,IF(G130&lt;0,0,G130)),0)</f>
        <v>0</v>
      </c>
      <c r="H134" s="14">
        <f ca="1">-IF(H133=0,IF(H130&gt;H132,H132,IF(H130&lt;0,0,H130)),0)</f>
        <v>0</v>
      </c>
      <c r="I134" s="14">
        <f ca="1">-IF(I133=0,IF(I130&gt;I132,I132,IF(I130&lt;0,0,I130)),0)</f>
        <v>0</v>
      </c>
      <c r="J134" s="14">
        <f ca="1">-IF(J133=0,IF(J130&gt;J132,J132,IF(J130&lt;0,0,J130)),0)</f>
        <v>0</v>
      </c>
    </row>
    <row r="135" spans="2:10" x14ac:dyDescent="0.2">
      <c r="B135" s="11" t="s">
        <v>98</v>
      </c>
      <c r="C135" s="11"/>
      <c r="D135" s="11"/>
      <c r="E135" s="11"/>
      <c r="F135" s="15">
        <f ca="1">SUM(F132:F134)</f>
        <v>964</v>
      </c>
      <c r="G135" s="15">
        <f ca="1">SUM(G132:G134)</f>
        <v>964</v>
      </c>
      <c r="H135" s="15">
        <f ca="1">SUM(H132:H134)</f>
        <v>964</v>
      </c>
      <c r="I135" s="15">
        <f ca="1">SUM(I132:I134)</f>
        <v>964</v>
      </c>
      <c r="J135" s="15">
        <f ca="1">SUM(J132:J134)</f>
        <v>964</v>
      </c>
    </row>
    <row r="137" spans="2:10" s="72" customFormat="1" x14ac:dyDescent="0.2">
      <c r="B137" s="72" t="s">
        <v>100</v>
      </c>
      <c r="F137" s="103">
        <f>Assumptions!$E$37</f>
        <v>6.2399999999999997E-2</v>
      </c>
      <c r="G137" s="103">
        <f>Assumptions!$E$37</f>
        <v>6.2399999999999997E-2</v>
      </c>
      <c r="H137" s="103">
        <f>Assumptions!$E$37</f>
        <v>6.2399999999999997E-2</v>
      </c>
      <c r="I137" s="103">
        <f>Assumptions!$E$37</f>
        <v>6.2399999999999997E-2</v>
      </c>
      <c r="J137" s="103">
        <f>Assumptions!$E$37</f>
        <v>6.2399999999999997E-2</v>
      </c>
    </row>
    <row r="138" spans="2:10" x14ac:dyDescent="0.2">
      <c r="B138" t="s">
        <v>101</v>
      </c>
      <c r="F138" s="14">
        <f ca="1">IF(Assumptions!$C$45="Yes",F137*AVERAGE(F132,F135),F137*F132)</f>
        <v>45.115199999999994</v>
      </c>
      <c r="G138" s="14">
        <f ca="1">IF(Assumptions!$C$45="Yes",G137*AVERAGE(G132,G135),G137*G132)</f>
        <v>60.153599999999997</v>
      </c>
      <c r="H138" s="14">
        <f ca="1">IF(Assumptions!$C$45="Yes",H137*AVERAGE(H132,H135),H137*H132)</f>
        <v>60.153599999999997</v>
      </c>
      <c r="I138" s="14">
        <f ca="1">IF(Assumptions!$C$45="Yes",I137*AVERAGE(I132,I135),I137*I132)</f>
        <v>60.153599999999997</v>
      </c>
      <c r="J138" s="14">
        <f ca="1">IF(Assumptions!$C$45="Yes",J137*AVERAGE(J132,J135),J137*J132)</f>
        <v>60.153599999999997</v>
      </c>
    </row>
    <row r="139" spans="2:10" x14ac:dyDescent="0.2">
      <c r="F139" s="14"/>
      <c r="G139" s="14"/>
      <c r="H139" s="14"/>
      <c r="I139" s="14"/>
      <c r="J139" s="14"/>
    </row>
    <row r="140" spans="2:10" s="72" customFormat="1" x14ac:dyDescent="0.2">
      <c r="B140" s="72" t="s">
        <v>102</v>
      </c>
      <c r="F140" s="63">
        <f>Assumptions!$J$37</f>
        <v>964</v>
      </c>
      <c r="G140" s="63">
        <f>Assumptions!$J$37</f>
        <v>964</v>
      </c>
      <c r="H140" s="63">
        <f>Assumptions!$J$37</f>
        <v>964</v>
      </c>
      <c r="I140" s="63">
        <f>Assumptions!$J$37</f>
        <v>964</v>
      </c>
      <c r="J140" s="63">
        <f>Assumptions!$J$37</f>
        <v>964</v>
      </c>
    </row>
    <row r="141" spans="2:10" x14ac:dyDescent="0.2">
      <c r="B141" s="24" t="s">
        <v>106</v>
      </c>
      <c r="C141" s="24"/>
      <c r="D141" s="24"/>
      <c r="F141" s="14">
        <f ca="1">IF(Assumptions!C45="Yes",F140-AVERAGE(F132,F135),F140-F132)</f>
        <v>241</v>
      </c>
      <c r="G141" s="14">
        <f ca="1">IF(Assumptions!$C$45="Yes",G140-AVERAGE(G132,G135),G140-G132)</f>
        <v>0</v>
      </c>
      <c r="H141" s="14">
        <f ca="1">IF(Assumptions!$C$45="Yes",H140-AVERAGE(H132,H135),H140-H132)</f>
        <v>0</v>
      </c>
      <c r="I141" s="14">
        <f ca="1">IF(Assumptions!$C$45="Yes",I140-AVERAGE(I132,I135),I140-I132)</f>
        <v>0</v>
      </c>
      <c r="J141" s="14">
        <f ca="1">IF(Assumptions!$C$45="Yes",J140-AVERAGE(J132,J135),J140-J132)</f>
        <v>0</v>
      </c>
    </row>
    <row r="142" spans="2:10" s="72" customFormat="1" x14ac:dyDescent="0.2">
      <c r="B142" s="82" t="s">
        <v>104</v>
      </c>
      <c r="C142" s="82"/>
      <c r="D142" s="82"/>
      <c r="F142" s="103">
        <f>Assumptions!$K$37</f>
        <v>7.4999999999999997E-3</v>
      </c>
      <c r="G142" s="103">
        <f>Assumptions!$K$37</f>
        <v>7.4999999999999997E-3</v>
      </c>
      <c r="H142" s="103">
        <f>Assumptions!$K$37</f>
        <v>7.4999999999999997E-3</v>
      </c>
      <c r="I142" s="103">
        <f>Assumptions!$K$37</f>
        <v>7.4999999999999997E-3</v>
      </c>
      <c r="J142" s="103">
        <f>Assumptions!$K$37</f>
        <v>7.4999999999999997E-3</v>
      </c>
    </row>
    <row r="143" spans="2:10" x14ac:dyDescent="0.2">
      <c r="B143" s="11" t="s">
        <v>105</v>
      </c>
      <c r="C143" s="11"/>
      <c r="D143" s="11"/>
      <c r="E143" s="11"/>
      <c r="F143" s="15">
        <f ca="1">F142*F141</f>
        <v>1.8074999999999999</v>
      </c>
      <c r="G143" s="15">
        <f ca="1">G142*G141</f>
        <v>0</v>
      </c>
      <c r="H143" s="15">
        <f ca="1">H142*H141</f>
        <v>0</v>
      </c>
      <c r="I143" s="15">
        <f ca="1">I142*I141</f>
        <v>0</v>
      </c>
      <c r="J143" s="15">
        <f ca="1">J142*J141</f>
        <v>0</v>
      </c>
    </row>
    <row r="145" spans="2:10" x14ac:dyDescent="0.2">
      <c r="B145" s="1" t="s">
        <v>10</v>
      </c>
      <c r="C145" s="1"/>
      <c r="D145" s="1"/>
    </row>
    <row r="147" spans="2:10" x14ac:dyDescent="0.2">
      <c r="B147" s="24" t="s">
        <v>90</v>
      </c>
      <c r="C147" s="24"/>
      <c r="D147" s="24"/>
      <c r="F147" s="14">
        <f ca="1">F130</f>
        <v>-572.3776439860967</v>
      </c>
      <c r="G147" s="14">
        <f ca="1">G130</f>
        <v>-539.63461632063434</v>
      </c>
      <c r="H147" s="14">
        <f ca="1">H130</f>
        <v>-493.89462508547399</v>
      </c>
      <c r="I147" s="14">
        <f ca="1">I130</f>
        <v>-460.15476494015957</v>
      </c>
      <c r="J147" s="14">
        <f ca="1">J130</f>
        <v>-390.89956919100223</v>
      </c>
    </row>
    <row r="148" spans="2:10" x14ac:dyDescent="0.2">
      <c r="B148" s="24" t="s">
        <v>94</v>
      </c>
      <c r="C148" s="24"/>
      <c r="D148" s="24"/>
      <c r="F148" s="14">
        <f ca="1">SUM(F133:F134)</f>
        <v>482</v>
      </c>
      <c r="G148" s="14">
        <f ca="1">SUM(G133:G134)</f>
        <v>0</v>
      </c>
      <c r="H148" s="14">
        <f ca="1">SUM(H133:H134)</f>
        <v>0</v>
      </c>
      <c r="I148" s="14">
        <f ca="1">SUM(I133:I134)</f>
        <v>0</v>
      </c>
      <c r="J148" s="14">
        <f ca="1">SUM(J133:J134)</f>
        <v>0</v>
      </c>
    </row>
    <row r="149" spans="2:10" x14ac:dyDescent="0.2">
      <c r="B149" s="24" t="s">
        <v>89</v>
      </c>
      <c r="C149" s="24"/>
      <c r="D149" s="24"/>
      <c r="F149" s="14">
        <f>F170</f>
        <v>-38.56</v>
      </c>
      <c r="G149" s="14">
        <f ca="1">G170</f>
        <v>-37.788800000000002</v>
      </c>
      <c r="H149" s="14">
        <f ca="1">H170</f>
        <v>-47.825716326412696</v>
      </c>
      <c r="I149" s="14">
        <f ca="1">I170</f>
        <v>-56.747094501593928</v>
      </c>
      <c r="J149" s="14">
        <f ca="1">J170</f>
        <v>-56.705058109968121</v>
      </c>
    </row>
    <row r="150" spans="2:10" x14ac:dyDescent="0.2">
      <c r="B150" s="11" t="s">
        <v>95</v>
      </c>
      <c r="C150" s="11"/>
      <c r="D150" s="11"/>
      <c r="E150" s="12"/>
      <c r="F150" s="15">
        <f ca="1">SUM(F147:F148)</f>
        <v>-90.3776439860967</v>
      </c>
      <c r="G150" s="15">
        <f ca="1">SUM(G147:G148)</f>
        <v>-539.63461632063434</v>
      </c>
      <c r="H150" s="15">
        <f ca="1">SUM(H147:H148)</f>
        <v>-493.89462508547399</v>
      </c>
      <c r="I150" s="15">
        <f ca="1">SUM(I147:I148)</f>
        <v>-460.15476494015957</v>
      </c>
      <c r="J150" s="15">
        <f ca="1">SUM(J147:J148)</f>
        <v>-390.89956919100223</v>
      </c>
    </row>
    <row r="152" spans="2:10" x14ac:dyDescent="0.2">
      <c r="B152" t="s">
        <v>99</v>
      </c>
      <c r="F152" s="14">
        <f>'Financial Statements'!E37</f>
        <v>964</v>
      </c>
      <c r="G152" s="14">
        <f ca="1">F156</f>
        <v>861.57764398609675</v>
      </c>
      <c r="H152" s="14">
        <f ca="1">G156</f>
        <v>668.77764398609679</v>
      </c>
      <c r="I152" s="14">
        <f ca="1">H156</f>
        <v>475.97764398609678</v>
      </c>
      <c r="J152" s="14">
        <f ca="1">I156</f>
        <v>283.17764398609677</v>
      </c>
    </row>
    <row r="153" spans="2:10" s="56" customFormat="1" x14ac:dyDescent="0.2">
      <c r="B153" s="81" t="s">
        <v>96</v>
      </c>
      <c r="C153" s="81"/>
      <c r="D153" s="81"/>
      <c r="F153" s="53">
        <v>0</v>
      </c>
      <c r="G153" s="53">
        <v>0</v>
      </c>
      <c r="H153" s="53">
        <v>0</v>
      </c>
      <c r="I153" s="53">
        <v>0</v>
      </c>
      <c r="J153" s="53">
        <v>0</v>
      </c>
    </row>
    <row r="154" spans="2:10" x14ac:dyDescent="0.2">
      <c r="B154" s="24" t="s">
        <v>97</v>
      </c>
      <c r="C154" s="24"/>
      <c r="D154" s="24"/>
      <c r="F154" s="14">
        <f ca="1">-IF(F153=0,IF(F150&gt;F152,F152,F150),0)</f>
        <v>90.3776439860967</v>
      </c>
      <c r="G154" s="14">
        <f ca="1">-IF(G153=0,IF(G150&gt;G152,G152,IF(G150&lt;0,0,G150)),0)</f>
        <v>0</v>
      </c>
      <c r="H154" s="14">
        <f ca="1">-IF(H153=0,IF(H150&gt;H152,H152,IF(H150&lt;0,0,H150)),0)</f>
        <v>0</v>
      </c>
      <c r="I154" s="14">
        <f ca="1">-IF(I153=0,IF(I150&gt;I152,I152,IF(I150&lt;0,0,I150)),0)</f>
        <v>0</v>
      </c>
      <c r="J154" s="14">
        <f ca="1">-IF(J153=0,IF(J150&gt;J152,J152,IF(J150&lt;0,0,J150)),0)</f>
        <v>0</v>
      </c>
    </row>
    <row r="155" spans="2:10" s="72" customFormat="1" x14ac:dyDescent="0.2">
      <c r="B155" s="82" t="s">
        <v>89</v>
      </c>
      <c r="C155" s="82"/>
      <c r="D155" s="82"/>
      <c r="F155" s="63">
        <f>-Assumptions!$H$38</f>
        <v>-192.8</v>
      </c>
      <c r="G155" s="63">
        <f>-Assumptions!$H$38</f>
        <v>-192.8</v>
      </c>
      <c r="H155" s="63">
        <f>-Assumptions!$H$38</f>
        <v>-192.8</v>
      </c>
      <c r="I155" s="63">
        <f>-Assumptions!$H$38</f>
        <v>-192.8</v>
      </c>
      <c r="J155" s="63">
        <f>-Assumptions!$H$38</f>
        <v>-192.8</v>
      </c>
    </row>
    <row r="156" spans="2:10" x14ac:dyDescent="0.2">
      <c r="B156" s="11" t="s">
        <v>98</v>
      </c>
      <c r="C156" s="11"/>
      <c r="D156" s="11"/>
      <c r="E156" s="12"/>
      <c r="F156" s="15">
        <f ca="1">SUM(F152:F155)</f>
        <v>861.57764398609675</v>
      </c>
      <c r="G156" s="15">
        <f ca="1">SUM(G152:G155)</f>
        <v>668.77764398609679</v>
      </c>
      <c r="H156" s="15">
        <f ca="1">SUM(H152:H155)</f>
        <v>475.97764398609678</v>
      </c>
      <c r="I156" s="15">
        <f ca="1">SUM(I152:I155)</f>
        <v>283.17764398609677</v>
      </c>
      <c r="J156" s="15">
        <f ca="1">SUM(J152:J155)</f>
        <v>90.377643986096757</v>
      </c>
    </row>
    <row r="158" spans="2:10" s="72" customFormat="1" x14ac:dyDescent="0.2">
      <c r="B158" s="82" t="s">
        <v>100</v>
      </c>
      <c r="C158" s="82"/>
      <c r="D158" s="82"/>
      <c r="F158" s="103">
        <f>Assumptions!$E$38</f>
        <v>6.6000000000000003E-2</v>
      </c>
      <c r="G158" s="103">
        <f>Assumptions!$E$38</f>
        <v>6.6000000000000003E-2</v>
      </c>
      <c r="H158" s="103">
        <f>Assumptions!$E$38</f>
        <v>6.6000000000000003E-2</v>
      </c>
      <c r="I158" s="103">
        <f>Assumptions!$E$38</f>
        <v>6.6000000000000003E-2</v>
      </c>
      <c r="J158" s="103">
        <f>Assumptions!$E$38</f>
        <v>6.6000000000000003E-2</v>
      </c>
    </row>
    <row r="159" spans="2:10" x14ac:dyDescent="0.2">
      <c r="B159" s="24" t="s">
        <v>101</v>
      </c>
      <c r="C159" s="24"/>
      <c r="D159" s="24"/>
      <c r="F159" s="14">
        <f ca="1">IF(Assumptions!$C$45="Yes",F158*AVERAGE(F152,F156),F152*F158)</f>
        <v>60.244062251541195</v>
      </c>
      <c r="G159" s="14">
        <f ca="1">IF(Assumptions!$C$45="Yes",G158*AVERAGE(G152,G156),G152*G158)</f>
        <v>50.501724503082386</v>
      </c>
      <c r="H159" s="14">
        <f ca="1">IF(Assumptions!$C$45="Yes",H158*AVERAGE(H152,H156),H152*H158)</f>
        <v>37.776924503082391</v>
      </c>
      <c r="I159" s="14">
        <f ca="1">IF(Assumptions!$C$45="Yes",I158*AVERAGE(I152,I156),I152*I158)</f>
        <v>25.052124503082386</v>
      </c>
      <c r="J159" s="14">
        <f ca="1">IF(Assumptions!$C$45="Yes",J158*AVERAGE(J152,J156),J152*J158)</f>
        <v>12.327324503082387</v>
      </c>
    </row>
    <row r="161" spans="2:10" x14ac:dyDescent="0.2">
      <c r="B161" s="1" t="s">
        <v>9</v>
      </c>
      <c r="C161" s="1"/>
      <c r="D161" s="1"/>
    </row>
    <row r="163" spans="2:10" x14ac:dyDescent="0.2">
      <c r="B163" s="24" t="s">
        <v>95</v>
      </c>
      <c r="C163" s="24"/>
      <c r="D163" s="24"/>
      <c r="F163" s="14">
        <f ca="1">F150</f>
        <v>-90.3776439860967</v>
      </c>
      <c r="G163" s="14">
        <f ca="1">G150</f>
        <v>-539.63461632063434</v>
      </c>
      <c r="H163" s="14">
        <f ca="1">H150</f>
        <v>-493.89462508547399</v>
      </c>
      <c r="I163" s="14">
        <f ca="1">I150</f>
        <v>-460.15476494015957</v>
      </c>
      <c r="J163" s="14">
        <f ca="1">J150</f>
        <v>-390.89956919100223</v>
      </c>
    </row>
    <row r="164" spans="2:10" x14ac:dyDescent="0.2">
      <c r="B164" s="24" t="s">
        <v>94</v>
      </c>
      <c r="C164" s="24"/>
      <c r="D164" s="24"/>
      <c r="F164" s="14">
        <f ca="1">SUM(F153:F154)</f>
        <v>90.3776439860967</v>
      </c>
      <c r="G164" s="14">
        <f ca="1">SUM(G153:G154)</f>
        <v>0</v>
      </c>
      <c r="H164" s="14">
        <f ca="1">SUM(H153:H154)</f>
        <v>0</v>
      </c>
      <c r="I164" s="14">
        <f ca="1">SUM(I153:I154)</f>
        <v>0</v>
      </c>
      <c r="J164" s="14">
        <f ca="1">SUM(J153:J154)</f>
        <v>0</v>
      </c>
    </row>
    <row r="165" spans="2:10" x14ac:dyDescent="0.2">
      <c r="B165" s="11" t="s">
        <v>103</v>
      </c>
      <c r="C165" s="11"/>
      <c r="D165" s="11"/>
      <c r="E165" s="12"/>
      <c r="F165" s="15">
        <f ca="1">SUM(F163:F164)</f>
        <v>0</v>
      </c>
      <c r="G165" s="15">
        <f ca="1">SUM(G163:G164)</f>
        <v>-539.63461632063434</v>
      </c>
      <c r="H165" s="15">
        <f ca="1">SUM(H163:H164)</f>
        <v>-493.89462508547399</v>
      </c>
      <c r="I165" s="15">
        <f ca="1">SUM(I163:I164)</f>
        <v>-460.15476494015957</v>
      </c>
      <c r="J165" s="15">
        <f ca="1">SUM(J163:J164)</f>
        <v>-390.89956919100223</v>
      </c>
    </row>
    <row r="167" spans="2:10" x14ac:dyDescent="0.2">
      <c r="B167" s="38" t="s">
        <v>99</v>
      </c>
      <c r="C167" s="38"/>
      <c r="D167" s="38"/>
      <c r="F167" s="14">
        <f>'Financial Statements'!E38</f>
        <v>1928</v>
      </c>
      <c r="G167" s="14">
        <f ca="1">F171</f>
        <v>1889.44</v>
      </c>
      <c r="H167" s="14">
        <f ca="1">G171</f>
        <v>2391.2858163206347</v>
      </c>
      <c r="I167" s="14">
        <f ca="1">H171</f>
        <v>2837.3547250796964</v>
      </c>
      <c r="J167" s="14">
        <f ca="1">I171</f>
        <v>2835.2529054984061</v>
      </c>
    </row>
    <row r="168" spans="2:10" x14ac:dyDescent="0.2">
      <c r="B168" s="24" t="s">
        <v>96</v>
      </c>
      <c r="C168" s="24"/>
      <c r="D168" s="24"/>
      <c r="F168" s="14">
        <f ca="1">IF(F165&gt;=0,0,IF(F167-F165&gt;Assumptions!$I$39,Assumptions!$I$39-F167,-F165))</f>
        <v>0</v>
      </c>
      <c r="G168" s="14">
        <f ca="1">IF(G165&gt;=0,0,IF(G167-G165&gt;Assumptions!$I$39,Assumptions!$I$39-G167,-G165))</f>
        <v>539.63461632063434</v>
      </c>
      <c r="H168" s="14">
        <f ca="1">IF(H165&gt;=0,0,IF(H167-H165&gt;Assumptions!$I$39,Assumptions!$I$39-H167,-H165))</f>
        <v>493.89462508547399</v>
      </c>
      <c r="I168" s="14">
        <f ca="1">IF(I165&gt;=0,0,IF(I167-I165&gt;Assumptions!$I$39,Assumptions!$I$39-I167,-I165))</f>
        <v>54.645274920303564</v>
      </c>
      <c r="J168" s="14">
        <f ca="1">IF(J165&gt;=0,0,IF(J167-J165&gt;Assumptions!$I$39,Assumptions!$I$39-J167,-J165))</f>
        <v>56.747094501593892</v>
      </c>
    </row>
    <row r="169" spans="2:10" x14ac:dyDescent="0.2">
      <c r="B169" s="24" t="s">
        <v>97</v>
      </c>
      <c r="C169" s="24"/>
      <c r="D169" s="24"/>
      <c r="F169" s="14">
        <f ca="1">-IF(F168=0,IF(F165&gt;F167,F167,IF(F165&lt;0,0,F165)),0)</f>
        <v>0</v>
      </c>
      <c r="G169" s="14">
        <f ca="1">-IF(G168=0,IF(G165&gt;G167,G167,IF(G165&lt;0,0,G165)),0)</f>
        <v>0</v>
      </c>
      <c r="H169" s="14">
        <f ca="1">-IF(H168=0,IF(H165&gt;H167,H167,IF(H165&lt;0,0,H165)),0)</f>
        <v>0</v>
      </c>
      <c r="I169" s="14">
        <f ca="1">-IF(I168=0,IF(I165&gt;I167,I167,IF(I165&lt;0,0,I165)),0)</f>
        <v>0</v>
      </c>
      <c r="J169" s="14">
        <f ca="1">-IF(J168=0,IF(J165&gt;J167,J167,IF(J165&lt;0,0,J165)),0)</f>
        <v>0</v>
      </c>
    </row>
    <row r="170" spans="2:10" x14ac:dyDescent="0.2">
      <c r="B170" s="24" t="s">
        <v>89</v>
      </c>
      <c r="C170" s="24"/>
      <c r="D170" s="24"/>
      <c r="F170" s="14">
        <f>-Assumptions!$G$39*F167</f>
        <v>-38.56</v>
      </c>
      <c r="G170" s="14">
        <f ca="1">-Assumptions!$G$39*G167</f>
        <v>-37.788800000000002</v>
      </c>
      <c r="H170" s="14">
        <f ca="1">-Assumptions!$G$39*H167</f>
        <v>-47.825716326412696</v>
      </c>
      <c r="I170" s="14">
        <f ca="1">-Assumptions!$G$39*I167</f>
        <v>-56.747094501593928</v>
      </c>
      <c r="J170" s="14">
        <f ca="1">-Assumptions!$G$39*J167</f>
        <v>-56.705058109968121</v>
      </c>
    </row>
    <row r="171" spans="2:10" x14ac:dyDescent="0.2">
      <c r="B171" s="11" t="s">
        <v>98</v>
      </c>
      <c r="C171" s="11"/>
      <c r="D171" s="11"/>
      <c r="E171" s="12"/>
      <c r="F171" s="15">
        <f ca="1">SUM(F167:F170)</f>
        <v>1889.44</v>
      </c>
      <c r="G171" s="15">
        <f ca="1">SUM(G167:G170)</f>
        <v>2391.2858163206347</v>
      </c>
      <c r="H171" s="15">
        <f ca="1">SUM(H167:H170)</f>
        <v>2837.3547250796964</v>
      </c>
      <c r="I171" s="15">
        <f ca="1">SUM(I167:I170)</f>
        <v>2835.2529054984061</v>
      </c>
      <c r="J171" s="15">
        <f ca="1">SUM(J167:J170)</f>
        <v>2835.2949418900321</v>
      </c>
    </row>
    <row r="173" spans="2:10" s="72" customFormat="1" x14ac:dyDescent="0.2">
      <c r="B173" s="82" t="s">
        <v>100</v>
      </c>
      <c r="C173" s="82"/>
      <c r="D173" s="82"/>
      <c r="F173" s="103">
        <f>Assumptions!$E$39</f>
        <v>6.6000000000000003E-2</v>
      </c>
      <c r="G173" s="103">
        <f>Assumptions!$E$39</f>
        <v>6.6000000000000003E-2</v>
      </c>
      <c r="H173" s="103">
        <f>Assumptions!$E$39</f>
        <v>6.6000000000000003E-2</v>
      </c>
      <c r="I173" s="103">
        <f>Assumptions!$E$39</f>
        <v>6.6000000000000003E-2</v>
      </c>
      <c r="J173" s="103">
        <f>Assumptions!$E$39</f>
        <v>6.6000000000000003E-2</v>
      </c>
    </row>
    <row r="174" spans="2:10" x14ac:dyDescent="0.2">
      <c r="B174" s="24" t="s">
        <v>101</v>
      </c>
      <c r="C174" s="24"/>
      <c r="D174" s="24"/>
      <c r="F174" s="14">
        <f ca="1">IF(Assumptions!$C$45="Yes",F173*AVERAGE(F167,F171),F167*F173)</f>
        <v>125.97552</v>
      </c>
      <c r="G174" s="14">
        <f ca="1">IF(Assumptions!$C$45="Yes",G173*AVERAGE(G167,G171),G167*G173)</f>
        <v>141.26395193858096</v>
      </c>
      <c r="H174" s="14">
        <f ca="1">IF(Assumptions!$C$45="Yes",H173*AVERAGE(H167,H171),H167*H173)</f>
        <v>172.54513786621092</v>
      </c>
      <c r="I174" s="14">
        <f ca="1">IF(Assumptions!$C$45="Yes",I173*AVERAGE(I167,I171),I167*I173)</f>
        <v>187.1960518090774</v>
      </c>
      <c r="J174" s="14">
        <f ca="1">IF(Assumptions!$C$45="Yes",J173*AVERAGE(J167,J171),J167*J173)</f>
        <v>187.12807896381847</v>
      </c>
    </row>
    <row r="176" spans="2:10" x14ac:dyDescent="0.2">
      <c r="B176" s="1" t="s">
        <v>8</v>
      </c>
      <c r="C176" s="1"/>
      <c r="D176" s="1"/>
    </row>
    <row r="178" spans="2:10" s="13" customFormat="1" x14ac:dyDescent="0.2">
      <c r="B178" s="13" t="s">
        <v>103</v>
      </c>
      <c r="F178" s="33">
        <f ca="1">F165</f>
        <v>0</v>
      </c>
      <c r="G178" s="33">
        <f ca="1">G165</f>
        <v>-539.63461632063434</v>
      </c>
      <c r="H178" s="33">
        <f ca="1">H165</f>
        <v>-493.89462508547399</v>
      </c>
      <c r="I178" s="33">
        <f ca="1">I165</f>
        <v>-460.15476494015957</v>
      </c>
      <c r="J178" s="33">
        <f ca="1">J165</f>
        <v>-390.89956919100223</v>
      </c>
    </row>
    <row r="179" spans="2:10" s="13" customFormat="1" x14ac:dyDescent="0.2">
      <c r="B179" s="13" t="s">
        <v>94</v>
      </c>
      <c r="F179" s="33">
        <f ca="1">SUM(F168:F169)</f>
        <v>0</v>
      </c>
      <c r="G179" s="33">
        <f ca="1">SUM(G168:G169)</f>
        <v>539.63461632063434</v>
      </c>
      <c r="H179" s="33">
        <f ca="1">SUM(H168:H169)</f>
        <v>493.89462508547399</v>
      </c>
      <c r="I179" s="33">
        <f ca="1">SUM(I168:I169)</f>
        <v>54.645274920303564</v>
      </c>
      <c r="J179" s="33">
        <f ca="1">SUM(J168:J169)</f>
        <v>56.747094501593892</v>
      </c>
    </row>
    <row r="180" spans="2:10" s="13" customFormat="1" x14ac:dyDescent="0.2">
      <c r="B180" s="11" t="s">
        <v>107</v>
      </c>
      <c r="C180" s="11"/>
      <c r="D180" s="11"/>
      <c r="E180" s="105"/>
      <c r="F180" s="15">
        <f ca="1">SUM(F178:F179)</f>
        <v>0</v>
      </c>
      <c r="G180" s="15">
        <f ca="1">SUM(G178:G179)</f>
        <v>0</v>
      </c>
      <c r="H180" s="15">
        <f ca="1">SUM(H178:H179)</f>
        <v>0</v>
      </c>
      <c r="I180" s="15">
        <f ca="1">SUM(I178:I179)</f>
        <v>-405.509490019856</v>
      </c>
      <c r="J180" s="15">
        <f ca="1">SUM(J178:J179)</f>
        <v>-334.15247468940834</v>
      </c>
    </row>
    <row r="181" spans="2:10" s="13" customFormat="1" x14ac:dyDescent="0.2"/>
    <row r="182" spans="2:10" s="13" customFormat="1" x14ac:dyDescent="0.2">
      <c r="B182" s="13" t="s">
        <v>99</v>
      </c>
      <c r="F182" s="33">
        <f>'Financial Statements'!E39</f>
        <v>964</v>
      </c>
      <c r="G182" s="33">
        <f ca="1">F185</f>
        <v>964</v>
      </c>
      <c r="H182" s="33">
        <f ca="1">G185</f>
        <v>964</v>
      </c>
      <c r="I182" s="33">
        <f ca="1">H185</f>
        <v>964</v>
      </c>
      <c r="J182" s="33">
        <f ca="1">I185</f>
        <v>1369.509490019856</v>
      </c>
    </row>
    <row r="183" spans="2:10" x14ac:dyDescent="0.2">
      <c r="B183" s="24" t="s">
        <v>96</v>
      </c>
      <c r="C183" s="24"/>
      <c r="D183" s="24"/>
      <c r="F183" s="14">
        <f ca="1">IF(F180&gt;=0,0,IF(F182-F180&gt;Assumptions!$I$40,Assumptions!$I$40-F182,-F180))</f>
        <v>0</v>
      </c>
      <c r="G183" s="14">
        <f ca="1">IF(G180&gt;=0,0,IF(G182-G180&gt;Assumptions!$I$40,Assumptions!$I$40-G182,-G180))</f>
        <v>0</v>
      </c>
      <c r="H183" s="14">
        <f ca="1">IF(H180&gt;=0,0,IF(H182-H180&gt;Assumptions!$I$40,Assumptions!$I$40-H182,-H180))</f>
        <v>0</v>
      </c>
      <c r="I183" s="14">
        <f ca="1">IF(I180&gt;=0,0,IF(I182-I180&gt;Assumptions!$I$40,Assumptions!$I$40-I182,-I180))</f>
        <v>405.509490019856</v>
      </c>
      <c r="J183" s="14">
        <f ca="1">IF(J180&gt;=0,0,IF(J182-J180&gt;Assumptions!$I$40,Assumptions!$I$40-J182,-J180))</f>
        <v>76.490509980143997</v>
      </c>
    </row>
    <row r="184" spans="2:10" x14ac:dyDescent="0.2">
      <c r="B184" s="24" t="s">
        <v>97</v>
      </c>
      <c r="C184" s="24"/>
      <c r="D184" s="24"/>
      <c r="F184" s="14">
        <f ca="1">-IF(F183=0,IF(F180&gt;F182,F182,IF(F180&lt;0,0,F180)),0)</f>
        <v>0</v>
      </c>
      <c r="G184" s="14">
        <f ca="1">-IF(G183=0,IF(G180&gt;G182,G182,IF(G180&lt;0,0,G180)),0)</f>
        <v>0</v>
      </c>
      <c r="H184" s="14">
        <f ca="1">-IF(H183=0,IF(H180&gt;H182,H182,IF(H180&lt;0,0,H180)),0)</f>
        <v>0</v>
      </c>
      <c r="I184" s="14">
        <f ca="1">-IF(I183=0,IF(I180&gt;I182,I182,IF(I180&lt;0,0,I180)),0)</f>
        <v>0</v>
      </c>
      <c r="J184" s="14">
        <f ca="1">-IF(J183=0,IF(J180&gt;J182,J182,IF(J180&lt;0,0,J180)),0)</f>
        <v>0</v>
      </c>
    </row>
    <row r="185" spans="2:10" x14ac:dyDescent="0.2">
      <c r="B185" s="11" t="s">
        <v>98</v>
      </c>
      <c r="C185" s="11"/>
      <c r="D185" s="11"/>
      <c r="E185" s="12"/>
      <c r="F185" s="15">
        <f ca="1">SUM(F182:F184)</f>
        <v>964</v>
      </c>
      <c r="G185" s="15">
        <f ca="1">SUM(G182:G184)</f>
        <v>964</v>
      </c>
      <c r="H185" s="15">
        <f ca="1">SUM(H182:H184)</f>
        <v>964</v>
      </c>
      <c r="I185" s="15">
        <f ca="1">SUM(I182:I184)</f>
        <v>1369.509490019856</v>
      </c>
      <c r="J185" s="15">
        <f ca="1">SUM(J182:J184)</f>
        <v>1446</v>
      </c>
    </row>
    <row r="187" spans="2:10" s="72" customFormat="1" x14ac:dyDescent="0.2">
      <c r="B187" s="72" t="s">
        <v>100</v>
      </c>
      <c r="F187" s="104">
        <f>Assumptions!$E$40</f>
        <v>9.6000000000000002E-2</v>
      </c>
      <c r="G187" s="104">
        <f>Assumptions!$E$40</f>
        <v>9.6000000000000002E-2</v>
      </c>
      <c r="H187" s="104">
        <f>Assumptions!$E$40</f>
        <v>9.6000000000000002E-2</v>
      </c>
      <c r="I187" s="104">
        <f>Assumptions!$E$40</f>
        <v>9.6000000000000002E-2</v>
      </c>
      <c r="J187" s="104">
        <f>Assumptions!$E$40</f>
        <v>9.6000000000000002E-2</v>
      </c>
    </row>
    <row r="188" spans="2:10" x14ac:dyDescent="0.2">
      <c r="B188" t="s">
        <v>101</v>
      </c>
      <c r="F188" s="14">
        <f ca="1">IF(Assumptions!$C$45="Yes",F187*AVERAGE(F185,F182),F182*F187)</f>
        <v>92.543999999999997</v>
      </c>
      <c r="G188" s="14">
        <f ca="1">IF(Assumptions!$C$45="Yes",G187*AVERAGE(G185,G182),G182*G187)</f>
        <v>92.543999999999997</v>
      </c>
      <c r="H188" s="14">
        <f ca="1">IF(Assumptions!$C$45="Yes",H187*AVERAGE(H185,H182),H182*H187)</f>
        <v>92.543999999999997</v>
      </c>
      <c r="I188" s="14">
        <f ca="1">IF(Assumptions!$C$45="Yes",I187*AVERAGE(I185,I182),I182*I187)</f>
        <v>112.00845552095309</v>
      </c>
      <c r="J188" s="14">
        <f ca="1">IF(Assumptions!$C$45="Yes",J187*AVERAGE(J185,J182),J182*J187)</f>
        <v>135.1444555209531</v>
      </c>
    </row>
    <row r="190" spans="2:10" x14ac:dyDescent="0.2">
      <c r="B190" s="1" t="s">
        <v>7</v>
      </c>
      <c r="C190" s="1"/>
      <c r="D190" s="1"/>
    </row>
    <row r="192" spans="2:10" s="13" customFormat="1" x14ac:dyDescent="0.2">
      <c r="B192" s="19" t="s">
        <v>107</v>
      </c>
      <c r="C192" s="19"/>
      <c r="D192" s="19"/>
      <c r="F192" s="33">
        <f ca="1">F180</f>
        <v>0</v>
      </c>
      <c r="G192" s="33">
        <f ca="1">G180</f>
        <v>0</v>
      </c>
      <c r="H192" s="33">
        <f ca="1">H180</f>
        <v>0</v>
      </c>
      <c r="I192" s="33">
        <f ca="1">I180</f>
        <v>-405.509490019856</v>
      </c>
      <c r="J192" s="33">
        <f ca="1">J180</f>
        <v>-334.15247468940834</v>
      </c>
    </row>
    <row r="193" spans="2:11" s="13" customFormat="1" x14ac:dyDescent="0.2">
      <c r="B193" s="19" t="s">
        <v>94</v>
      </c>
      <c r="C193" s="19"/>
      <c r="D193" s="19"/>
      <c r="F193" s="33">
        <f ca="1">SUM(F183:F184)</f>
        <v>0</v>
      </c>
      <c r="G193" s="33">
        <f ca="1">SUM(G183:G184)</f>
        <v>0</v>
      </c>
      <c r="H193" s="33">
        <f ca="1">SUM(H183:H184)</f>
        <v>0</v>
      </c>
      <c r="I193" s="33">
        <f ca="1">SUM(I183:I184)</f>
        <v>405.509490019856</v>
      </c>
      <c r="J193" s="33">
        <f ca="1">SUM(J183:J184)</f>
        <v>76.490509980143997</v>
      </c>
    </row>
    <row r="194" spans="2:11" s="13" customFormat="1" x14ac:dyDescent="0.2">
      <c r="B194" s="11" t="s">
        <v>108</v>
      </c>
      <c r="C194" s="11"/>
      <c r="D194" s="11"/>
      <c r="E194" s="105"/>
      <c r="F194" s="15">
        <f ca="1">SUM(F192:F193)</f>
        <v>0</v>
      </c>
      <c r="G194" s="15">
        <f ca="1">SUM(G192:G193)</f>
        <v>0</v>
      </c>
      <c r="H194" s="15">
        <f ca="1">SUM(H192:H193)</f>
        <v>0</v>
      </c>
      <c r="I194" s="15">
        <f ca="1">SUM(I192:I193)</f>
        <v>0</v>
      </c>
      <c r="J194" s="15">
        <f ca="1">SUM(J192:J193)</f>
        <v>-257.66196470926434</v>
      </c>
    </row>
    <row r="195" spans="2:11" s="13" customFormat="1" x14ac:dyDescent="0.2"/>
    <row r="196" spans="2:11" s="13" customFormat="1" x14ac:dyDescent="0.2">
      <c r="B196" s="13" t="s">
        <v>99</v>
      </c>
      <c r="F196" s="33">
        <f>'Financial Statements'!E40</f>
        <v>482</v>
      </c>
      <c r="G196" s="33">
        <f ca="1">F200</f>
        <v>491.64</v>
      </c>
      <c r="H196" s="33">
        <f ca="1">G200</f>
        <v>501.47280000000001</v>
      </c>
      <c r="I196" s="33">
        <f ca="1">H200</f>
        <v>511.50225599999999</v>
      </c>
      <c r="J196" s="33">
        <f ca="1">I200</f>
        <v>521.73230111999999</v>
      </c>
    </row>
    <row r="197" spans="2:11" x14ac:dyDescent="0.2">
      <c r="B197" s="24" t="s">
        <v>96</v>
      </c>
      <c r="C197" s="24"/>
      <c r="D197" s="24"/>
      <c r="F197" s="14">
        <f ca="1">IF(F194&gt;=0,0,IF(F196-F194&gt;Assumptions!$I$41,Assumptions!$I$41-F196,-F194))</f>
        <v>0</v>
      </c>
      <c r="G197" s="14">
        <f ca="1">IF(G194&gt;=0,0,IF(G196-G194&gt;Assumptions!$I$41,Assumptions!$I$41-G196,-G194))</f>
        <v>0</v>
      </c>
      <c r="H197" s="14">
        <f ca="1">IF(H194&gt;=0,0,IF(H196-H194&gt;Assumptions!$I$41,Assumptions!$I$41-H196,-H194))</f>
        <v>0</v>
      </c>
      <c r="I197" s="14">
        <f ca="1">IF(I194&gt;=0,0,IF(I196-I194&gt;Assumptions!$I$41,Assumptions!$I$41-I196,-I194))</f>
        <v>0</v>
      </c>
      <c r="J197" s="14">
        <f ca="1">IF(J194&gt;=0,0,IF(J196-J194&gt;Assumptions!$I$41,Assumptions!$I$41-J196,-J194))</f>
        <v>257.66196470926434</v>
      </c>
    </row>
    <row r="198" spans="2:11" x14ac:dyDescent="0.2">
      <c r="B198" s="24" t="s">
        <v>97</v>
      </c>
      <c r="C198" s="24"/>
      <c r="D198" s="24"/>
      <c r="F198" s="53">
        <v>0</v>
      </c>
      <c r="G198" s="53">
        <v>0</v>
      </c>
      <c r="H198" s="53">
        <v>0</v>
      </c>
      <c r="I198" s="53">
        <v>0</v>
      </c>
      <c r="J198" s="53">
        <v>0</v>
      </c>
    </row>
    <row r="199" spans="2:11" x14ac:dyDescent="0.2">
      <c r="B199" s="24" t="s">
        <v>109</v>
      </c>
      <c r="C199" s="24"/>
      <c r="D199" s="24"/>
      <c r="F199" s="14">
        <f>F206</f>
        <v>9.64</v>
      </c>
      <c r="G199" s="14">
        <f ca="1">G206</f>
        <v>9.8328000000000007</v>
      </c>
      <c r="H199" s="14">
        <f ca="1">H206</f>
        <v>10.029456</v>
      </c>
      <c r="I199" s="14">
        <f ca="1">I206</f>
        <v>10.23004512</v>
      </c>
      <c r="J199" s="14">
        <f ca="1">J206</f>
        <v>10.434646022400001</v>
      </c>
    </row>
    <row r="200" spans="2:11" x14ac:dyDescent="0.2">
      <c r="B200" s="11" t="s">
        <v>98</v>
      </c>
      <c r="C200" s="11"/>
      <c r="D200" s="11"/>
      <c r="E200" s="12"/>
      <c r="F200" s="15">
        <f ca="1">SUM(F196:F199)</f>
        <v>491.64</v>
      </c>
      <c r="G200" s="15">
        <f ca="1">SUM(G196:G199)</f>
        <v>501.47280000000001</v>
      </c>
      <c r="H200" s="15">
        <f ca="1">SUM(H196:H199)</f>
        <v>511.50225599999999</v>
      </c>
      <c r="I200" s="15">
        <f ca="1">SUM(I196:I199)</f>
        <v>521.73230111999999</v>
      </c>
      <c r="J200" s="15">
        <f ca="1">SUM(J196:J199)</f>
        <v>789.82891185166432</v>
      </c>
      <c r="K200" s="14"/>
    </row>
    <row r="202" spans="2:11" s="72" customFormat="1" x14ac:dyDescent="0.2">
      <c r="B202" s="83" t="s">
        <v>100</v>
      </c>
      <c r="C202" s="83"/>
      <c r="D202" s="83"/>
      <c r="F202" s="104">
        <f>Assumptions!$E$41</f>
        <v>0.11489999999999999</v>
      </c>
      <c r="G202" s="104">
        <f>Assumptions!$E$41</f>
        <v>0.11489999999999999</v>
      </c>
      <c r="H202" s="104">
        <f>Assumptions!$E$41</f>
        <v>0.11489999999999999</v>
      </c>
      <c r="I202" s="104">
        <f>Assumptions!$E$41</f>
        <v>0.11489999999999999</v>
      </c>
      <c r="J202" s="104">
        <f>Assumptions!$E$41</f>
        <v>0.11489999999999999</v>
      </c>
    </row>
    <row r="203" spans="2:11" x14ac:dyDescent="0.2">
      <c r="B203" s="38" t="s">
        <v>101</v>
      </c>
      <c r="C203" s="38"/>
      <c r="D203" s="38"/>
      <c r="F203" s="14">
        <f ca="1">IF(Assumptions!$C$45="Yes",F202*AVERAGE(F196,F200),F202*F196)</f>
        <v>55.935617999999991</v>
      </c>
      <c r="G203" s="14">
        <f ca="1">IF(Assumptions!$C$45="Yes",G202*AVERAGE(G196,G200),G202*G196)</f>
        <v>57.054330359999994</v>
      </c>
      <c r="H203" s="14">
        <f ca="1">IF(Assumptions!$C$45="Yes",H202*AVERAGE(H196,H200),H202*H196)</f>
        <v>58.195416967199996</v>
      </c>
      <c r="I203" s="14">
        <f ca="1">IF(Assumptions!$C$45="Yes",I202*AVERAGE(I196,I200),I202*I196)</f>
        <v>59.359325306543987</v>
      </c>
      <c r="J203" s="14">
        <f ca="1">IF(Assumptions!$C$45="Yes",J202*AVERAGE(J196,J200),J202*J196)</f>
        <v>75.349191685222095</v>
      </c>
    </row>
    <row r="204" spans="2:11" x14ac:dyDescent="0.2">
      <c r="F204" s="14"/>
      <c r="G204" s="14"/>
      <c r="H204" s="14"/>
      <c r="I204" s="14"/>
      <c r="J204" s="14"/>
    </row>
    <row r="205" spans="2:11" s="72" customFormat="1" x14ac:dyDescent="0.2">
      <c r="B205" s="72" t="s">
        <v>110</v>
      </c>
      <c r="F205" s="104">
        <f>Assumptions!$F$41</f>
        <v>0.02</v>
      </c>
      <c r="G205" s="104">
        <f>Assumptions!$F$41</f>
        <v>0.02</v>
      </c>
      <c r="H205" s="104">
        <f>Assumptions!$F$41</f>
        <v>0.02</v>
      </c>
      <c r="I205" s="104">
        <f>Assumptions!$F$41</f>
        <v>0.02</v>
      </c>
      <c r="J205" s="104">
        <f>Assumptions!$F$41</f>
        <v>0.02</v>
      </c>
    </row>
    <row r="206" spans="2:11" x14ac:dyDescent="0.2">
      <c r="B206" t="s">
        <v>111</v>
      </c>
      <c r="F206" s="14">
        <f>F205*F196</f>
        <v>9.64</v>
      </c>
      <c r="G206" s="14">
        <f ca="1">G205*G196</f>
        <v>9.8328000000000007</v>
      </c>
      <c r="H206" s="14">
        <f ca="1">H205*H196</f>
        <v>10.029456</v>
      </c>
      <c r="I206" s="14">
        <f ca="1">I205*I196</f>
        <v>10.23004512</v>
      </c>
      <c r="J206" s="14">
        <f ca="1">J205*J196</f>
        <v>10.434646022400001</v>
      </c>
    </row>
    <row r="208" spans="2:11" x14ac:dyDescent="0.2">
      <c r="B208" s="1" t="s">
        <v>93</v>
      </c>
      <c r="C208" s="1"/>
      <c r="D208" s="1"/>
      <c r="E208" s="1"/>
      <c r="F208" s="18">
        <f ca="1">F194+SUM(F197:F198)-F128</f>
        <v>100</v>
      </c>
      <c r="G208" s="18">
        <f ca="1">G194+SUM(G197:G198)-G128</f>
        <v>100</v>
      </c>
      <c r="H208" s="18">
        <f ca="1">H194+SUM(H197:H198)-H128</f>
        <v>100</v>
      </c>
      <c r="I208" s="18">
        <f ca="1">I194+SUM(I197:I198)-I128</f>
        <v>100</v>
      </c>
      <c r="J208" s="18">
        <f ca="1">J194+SUM(J197:J198)-J128</f>
        <v>100</v>
      </c>
    </row>
  </sheetData>
  <hyperlinks>
    <hyperlink ref="C2" r:id="rId1" xr:uid="{C844F2CB-EDA4-4446-AC8C-5BEC1F2751DD}"/>
    <hyperlink ref="O25" r:id="rId2" location="/" xr:uid="{425918D9-B244-284B-857F-DF440395954A}"/>
    <hyperlink ref="O26" r:id="rId3" location="/commodexp-1" xr:uid="{1E2FEC4C-9FED-994A-808C-B2A5F74C7ADA}"/>
    <hyperlink ref="O23" r:id="rId4" xr:uid="{A360FE49-39FC-C04E-963C-2CA7CAF065FC}"/>
    <hyperlink ref="O21" r:id="rId5" location="page=8" display="management quotes 1000 restaurants by 2032, I assume this is their peak restaurant capacity, exponential smoothing towards that" xr:uid="{4FE6EEFE-7CC4-8846-B513-616FC02BBEAC}"/>
    <hyperlink ref="F21" r:id="rId6" display="https://finance.yahoo.com/news/cava-opening-68-restaurants-2025-193000434.html?utm_source=chatgpt.com&amp;guccounter=1" xr:uid="{E1FA809E-2BC7-FE41-A1ED-98BF691E7A33}"/>
    <hyperlink ref="L50" r:id="rId7" xr:uid="{E31D4434-68DA-0E47-90C8-4C00121CC2EF}"/>
    <hyperlink ref="L63" r:id="rId8" xr:uid="{E9822ACF-5EA6-314E-AA9E-7FC7CE73596B}"/>
    <hyperlink ref="O28" r:id="rId9" xr:uid="{A494CD14-BCBF-5E4F-83AF-873007BBEE9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42B4-E10D-C041-8BC6-F24D010CC0F3}">
  <dimension ref="B1:K43"/>
  <sheetViews>
    <sheetView showGridLines="0" zoomScale="120" zoomScaleNormal="120" workbookViewId="0">
      <selection activeCell="K11" sqref="K11"/>
    </sheetView>
  </sheetViews>
  <sheetFormatPr baseColWidth="10" defaultRowHeight="16" x14ac:dyDescent="0.2"/>
  <cols>
    <col min="1" max="1" width="2.5" customWidth="1"/>
    <col min="2" max="2" width="26.5" customWidth="1"/>
  </cols>
  <sheetData>
    <row r="1" spans="2:11" x14ac:dyDescent="0.2">
      <c r="F1" s="32"/>
      <c r="G1" s="32"/>
      <c r="H1" s="32"/>
      <c r="I1" s="32"/>
      <c r="J1" s="32"/>
      <c r="K1" s="32"/>
    </row>
    <row r="2" spans="2:11" x14ac:dyDescent="0.2">
      <c r="B2" s="154" t="s">
        <v>152</v>
      </c>
      <c r="C2" s="157">
        <v>4.24E-2</v>
      </c>
      <c r="E2" s="32"/>
      <c r="F2" s="32"/>
      <c r="G2" s="32"/>
      <c r="H2" s="32"/>
      <c r="I2" s="32"/>
      <c r="J2" s="32"/>
    </row>
    <row r="4" spans="2:11" s="4" customFormat="1" x14ac:dyDescent="0.2">
      <c r="B4" s="5" t="s">
        <v>11</v>
      </c>
    </row>
    <row r="6" spans="2:11" x14ac:dyDescent="0.2">
      <c r="B6" s="56" t="s">
        <v>154</v>
      </c>
      <c r="C6" s="56">
        <v>200</v>
      </c>
      <c r="E6" s="61" t="s">
        <v>192</v>
      </c>
    </row>
    <row r="8" spans="2:11" x14ac:dyDescent="0.2">
      <c r="B8" t="s">
        <v>304</v>
      </c>
      <c r="C8" s="80">
        <f>$C$2+C6/10000</f>
        <v>6.2399999999999997E-2</v>
      </c>
    </row>
    <row r="9" spans="2:11" x14ac:dyDescent="0.2">
      <c r="C9" s="80"/>
    </row>
    <row r="10" spans="2:11" x14ac:dyDescent="0.2">
      <c r="B10" s="56" t="s">
        <v>305</v>
      </c>
      <c r="C10" s="84">
        <v>7.4999999999999997E-3</v>
      </c>
      <c r="E10" s="61" t="s">
        <v>158</v>
      </c>
    </row>
    <row r="12" spans="2:11" s="4" customFormat="1" x14ac:dyDescent="0.2">
      <c r="B12" s="5" t="s">
        <v>10</v>
      </c>
    </row>
    <row r="14" spans="2:11" x14ac:dyDescent="0.2">
      <c r="B14" s="56" t="s">
        <v>154</v>
      </c>
      <c r="C14" s="56">
        <v>236</v>
      </c>
      <c r="E14" s="61" t="s">
        <v>156</v>
      </c>
    </row>
    <row r="16" spans="2:11" x14ac:dyDescent="0.2">
      <c r="B16" t="s">
        <v>304</v>
      </c>
      <c r="C16" s="80">
        <f>$C$2+C14/10000</f>
        <v>6.6000000000000003E-2</v>
      </c>
    </row>
    <row r="18" spans="2:5" x14ac:dyDescent="0.2">
      <c r="B18" s="82" t="s">
        <v>306</v>
      </c>
      <c r="C18" s="63">
        <f>Assumptions!D38</f>
        <v>964</v>
      </c>
    </row>
    <row r="19" spans="2:5" x14ac:dyDescent="0.2">
      <c r="B19" s="81" t="s">
        <v>307</v>
      </c>
      <c r="C19" s="53">
        <v>5</v>
      </c>
      <c r="E19" t="s">
        <v>151</v>
      </c>
    </row>
    <row r="20" spans="2:5" s="1" customFormat="1" x14ac:dyDescent="0.2">
      <c r="B20" s="11" t="s">
        <v>308</v>
      </c>
      <c r="C20" s="15">
        <f>C18/C19</f>
        <v>192.8</v>
      </c>
    </row>
    <row r="22" spans="2:5" s="4" customFormat="1" x14ac:dyDescent="0.2">
      <c r="B22" s="5" t="s">
        <v>9</v>
      </c>
    </row>
    <row r="24" spans="2:5" x14ac:dyDescent="0.2">
      <c r="B24" t="s">
        <v>154</v>
      </c>
      <c r="C24">
        <f>C14</f>
        <v>236</v>
      </c>
      <c r="E24" t="s">
        <v>157</v>
      </c>
    </row>
    <row r="26" spans="2:5" x14ac:dyDescent="0.2">
      <c r="B26" t="s">
        <v>304</v>
      </c>
      <c r="C26" s="80">
        <f>$C$2+C24/10000</f>
        <v>6.6000000000000003E-2</v>
      </c>
    </row>
    <row r="27" spans="2:5" x14ac:dyDescent="0.2">
      <c r="C27" s="80"/>
    </row>
    <row r="28" spans="2:5" s="56" customFormat="1" x14ac:dyDescent="0.2">
      <c r="B28" s="56" t="s">
        <v>89</v>
      </c>
      <c r="C28" s="84">
        <v>0.02</v>
      </c>
    </row>
    <row r="30" spans="2:5" s="4" customFormat="1" x14ac:dyDescent="0.2">
      <c r="B30" s="5" t="s">
        <v>148</v>
      </c>
    </row>
    <row r="32" spans="2:5" x14ac:dyDescent="0.2">
      <c r="B32" s="56" t="s">
        <v>309</v>
      </c>
      <c r="C32" s="56">
        <v>300</v>
      </c>
      <c r="E32" s="61" t="s">
        <v>155</v>
      </c>
    </row>
    <row r="34" spans="2:5" x14ac:dyDescent="0.2">
      <c r="B34" t="s">
        <v>304</v>
      </c>
      <c r="C34" s="80">
        <f>$C$16+C32/10000</f>
        <v>9.6000000000000002E-2</v>
      </c>
    </row>
    <row r="36" spans="2:5" s="4" customFormat="1" x14ac:dyDescent="0.2">
      <c r="B36" s="5" t="s">
        <v>149</v>
      </c>
    </row>
    <row r="38" spans="2:5" x14ac:dyDescent="0.2">
      <c r="B38" s="56" t="s">
        <v>150</v>
      </c>
      <c r="C38" s="56">
        <v>925</v>
      </c>
      <c r="E38" s="61" t="s">
        <v>159</v>
      </c>
    </row>
    <row r="40" spans="2:5" x14ac:dyDescent="0.2">
      <c r="B40" s="81" t="s">
        <v>310</v>
      </c>
      <c r="C40" s="84">
        <v>0.02</v>
      </c>
    </row>
    <row r="41" spans="2:5" x14ac:dyDescent="0.2">
      <c r="B41" s="24" t="s">
        <v>311</v>
      </c>
      <c r="C41" s="80">
        <f>C38/10000+C2-C40</f>
        <v>0.11489999999999999</v>
      </c>
    </row>
    <row r="42" spans="2:5" s="1" customFormat="1" x14ac:dyDescent="0.2">
      <c r="B42" s="11" t="s">
        <v>312</v>
      </c>
      <c r="C42" s="87">
        <f>SUM(C40:C41)</f>
        <v>0.13489999999999999</v>
      </c>
    </row>
    <row r="43" spans="2:5" x14ac:dyDescent="0.2">
      <c r="C43" s="80"/>
    </row>
  </sheetData>
  <hyperlinks>
    <hyperlink ref="E32" r:id="rId1" xr:uid="{849F56FC-29D5-FB41-8358-2AEC16735AA0}"/>
    <hyperlink ref="E14" r:id="rId2" xr:uid="{0FE3194B-D88A-0E42-9367-50EEA42CAC3B}"/>
    <hyperlink ref="E10" r:id="rId3" xr:uid="{F0EEE15E-4D2A-0A45-8108-B62FF1B980A2}"/>
    <hyperlink ref="E38" r:id="rId4" xr:uid="{8E7A2B50-3B31-0C44-8EB2-80865E048E24}"/>
    <hyperlink ref="E6" r:id="rId5" location="page=76" xr:uid="{E4521BAE-FB7F-614E-84A2-30E41C8F393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5CBEC-5D3D-6D4E-A269-B0374E89C152}">
  <dimension ref="B2:XFD76"/>
  <sheetViews>
    <sheetView showGridLines="0" zoomScale="106" zoomScaleNormal="120" workbookViewId="0">
      <selection activeCell="A2" sqref="A2:XFD2"/>
    </sheetView>
  </sheetViews>
  <sheetFormatPr baseColWidth="10" defaultRowHeight="16" x14ac:dyDescent="0.2"/>
  <cols>
    <col min="1" max="1" width="2.5" customWidth="1"/>
    <col min="2" max="2" width="42.1640625" customWidth="1"/>
  </cols>
  <sheetData>
    <row r="2" spans="2:14" x14ac:dyDescent="0.2">
      <c r="B2" s="136" t="s">
        <v>0</v>
      </c>
      <c r="C2" s="136"/>
      <c r="D2" s="136"/>
      <c r="E2" s="119"/>
      <c r="F2" s="119"/>
      <c r="G2" s="119"/>
      <c r="H2" s="119"/>
      <c r="I2" s="119"/>
      <c r="J2" s="119"/>
    </row>
    <row r="3" spans="2:14" x14ac:dyDescent="0.2">
      <c r="B3" s="119"/>
      <c r="C3" s="137" t="s">
        <v>208</v>
      </c>
      <c r="D3" s="137" t="s">
        <v>209</v>
      </c>
      <c r="E3" s="137" t="s">
        <v>30</v>
      </c>
      <c r="F3" s="138" t="s">
        <v>210</v>
      </c>
      <c r="G3" s="138" t="s">
        <v>211</v>
      </c>
      <c r="H3" s="138" t="s">
        <v>212</v>
      </c>
      <c r="I3" s="138" t="s">
        <v>213</v>
      </c>
      <c r="J3" s="138" t="s">
        <v>214</v>
      </c>
    </row>
    <row r="5" spans="2:14" s="4" customFormat="1" x14ac:dyDescent="0.2">
      <c r="B5" s="5" t="s">
        <v>215</v>
      </c>
    </row>
    <row r="7" spans="2:14" x14ac:dyDescent="0.2">
      <c r="B7" s="19" t="s">
        <v>313</v>
      </c>
      <c r="C7" s="51">
        <v>65</v>
      </c>
      <c r="D7" s="51">
        <v>59</v>
      </c>
      <c r="E7" s="51">
        <v>53</v>
      </c>
      <c r="F7" s="139">
        <f ca="1">'Tax Schedules '!F62</f>
        <v>49.067895152034382</v>
      </c>
      <c r="G7" s="139">
        <f ca="1">'Tax Schedules '!G62</f>
        <v>30.070145182106764</v>
      </c>
      <c r="H7" s="139">
        <f ca="1">'Tax Schedules '!H62</f>
        <v>6.014029036421352</v>
      </c>
      <c r="I7" s="139">
        <f ca="1">'Tax Schedules '!I62</f>
        <v>1.2028058072842702</v>
      </c>
      <c r="J7" s="139">
        <f ca="1">'Tax Schedules '!J62</f>
        <v>0.24056116145685402</v>
      </c>
    </row>
    <row r="8" spans="2:14" x14ac:dyDescent="0.2">
      <c r="B8" s="19" t="s">
        <v>43</v>
      </c>
      <c r="C8" s="51">
        <v>81</v>
      </c>
      <c r="D8" s="51">
        <v>90</v>
      </c>
      <c r="E8" s="51">
        <v>97</v>
      </c>
      <c r="F8" s="18">
        <f>MAX(0,E8-F29)</f>
        <v>80.833333333333329</v>
      </c>
      <c r="G8" s="18">
        <f>MAX(0,F8-G29)</f>
        <v>64.666666666666657</v>
      </c>
      <c r="H8" s="18">
        <f>MAX(0,G8-H29)</f>
        <v>48.499999999999986</v>
      </c>
      <c r="I8" s="18">
        <f>MAX(0,H8-I29)</f>
        <v>32.333333333333314</v>
      </c>
      <c r="J8" s="18">
        <f>MAX(0,I8-J29)</f>
        <v>16.166666666666647</v>
      </c>
    </row>
    <row r="9" spans="2:14" x14ac:dyDescent="0.2">
      <c r="B9" s="19" t="s">
        <v>33</v>
      </c>
      <c r="C9" s="51">
        <v>5</v>
      </c>
      <c r="D9" s="51">
        <v>5</v>
      </c>
      <c r="E9" s="51">
        <v>0</v>
      </c>
      <c r="F9" s="18">
        <f>MAX(0,E9)</f>
        <v>0</v>
      </c>
      <c r="G9" s="18">
        <f>MAX(0,F9)</f>
        <v>0</v>
      </c>
      <c r="H9" s="18">
        <f>MAX(0,G9)</f>
        <v>0</v>
      </c>
      <c r="I9" s="18">
        <f>MAX(0,H9)</f>
        <v>0</v>
      </c>
      <c r="J9" s="18">
        <f>MAX(0,I9)</f>
        <v>0</v>
      </c>
      <c r="M9" s="109" t="s">
        <v>197</v>
      </c>
      <c r="N9" s="109" t="s">
        <v>196</v>
      </c>
    </row>
    <row r="10" spans="2:14" s="13" customFormat="1" x14ac:dyDescent="0.2">
      <c r="B10" s="19" t="s">
        <v>314</v>
      </c>
      <c r="C10" s="51">
        <v>2</v>
      </c>
      <c r="D10" s="51">
        <v>1</v>
      </c>
      <c r="E10" s="51">
        <v>1</v>
      </c>
      <c r="F10" s="33">
        <f>MAX(0,E10-F32)</f>
        <v>0</v>
      </c>
      <c r="G10" s="33">
        <f>MAX(0,F10-G32)</f>
        <v>0</v>
      </c>
      <c r="H10" s="33">
        <f>MAX(0,G10-H32)</f>
        <v>0</v>
      </c>
      <c r="I10" s="33">
        <f>MAX(0,H10-I32)</f>
        <v>0</v>
      </c>
      <c r="J10" s="33">
        <f>MAX(0,I10-J32)</f>
        <v>0</v>
      </c>
      <c r="M10" s="58" t="s">
        <v>198</v>
      </c>
      <c r="N10" s="51">
        <v>6</v>
      </c>
    </row>
    <row r="11" spans="2:14" s="13" customFormat="1" x14ac:dyDescent="0.2">
      <c r="B11" s="19" t="s">
        <v>195</v>
      </c>
      <c r="C11" s="51">
        <v>5</v>
      </c>
      <c r="D11" s="51">
        <v>6</v>
      </c>
      <c r="E11" s="51">
        <v>6</v>
      </c>
      <c r="F11" s="108">
        <f>MAX(0,E11-F31)</f>
        <v>4.8</v>
      </c>
      <c r="G11" s="108">
        <f>MAX(0,F11-G31)</f>
        <v>3.5999999999999996</v>
      </c>
      <c r="H11" s="108">
        <f>MAX(0,G11-H31)</f>
        <v>2.3999999999999995</v>
      </c>
      <c r="I11" s="108">
        <f>MAX(0,H11-I31)</f>
        <v>1.1999999999999995</v>
      </c>
      <c r="J11" s="108">
        <f>MAX(0,I11-J31)</f>
        <v>0</v>
      </c>
      <c r="K11" s="1"/>
      <c r="M11" s="98" t="s">
        <v>33</v>
      </c>
      <c r="N11" s="67">
        <f>Assumptions!C51</f>
        <v>10</v>
      </c>
    </row>
    <row r="12" spans="2:14" s="13" customFormat="1" x14ac:dyDescent="0.2">
      <c r="B12" s="19" t="s">
        <v>315</v>
      </c>
      <c r="C12" s="51">
        <v>-88</v>
      </c>
      <c r="D12" s="51">
        <v>-84</v>
      </c>
      <c r="E12" s="51">
        <v>0</v>
      </c>
      <c r="F12" s="33">
        <f>E12</f>
        <v>0</v>
      </c>
      <c r="G12" s="33">
        <f>F12</f>
        <v>0</v>
      </c>
      <c r="H12" s="33">
        <f>G12</f>
        <v>0</v>
      </c>
      <c r="I12" s="33">
        <f>H12</f>
        <v>0</v>
      </c>
      <c r="J12" s="33">
        <f>I12</f>
        <v>0</v>
      </c>
      <c r="M12" s="58" t="s">
        <v>195</v>
      </c>
      <c r="N12" s="51">
        <v>5</v>
      </c>
    </row>
    <row r="13" spans="2:14" s="13" customFormat="1" x14ac:dyDescent="0.2">
      <c r="B13" s="19" t="s">
        <v>316</v>
      </c>
      <c r="C13" s="33">
        <f t="shared" ref="C13:J13" si="0">C76</f>
        <v>0</v>
      </c>
      <c r="D13" s="33">
        <f t="shared" si="0"/>
        <v>0</v>
      </c>
      <c r="E13" s="33">
        <f t="shared" si="0"/>
        <v>0</v>
      </c>
      <c r="F13" s="33">
        <f t="shared" ca="1" si="0"/>
        <v>102.84299401380125</v>
      </c>
      <c r="G13" s="33">
        <f t="shared" ca="1" si="0"/>
        <v>205.21040065819767</v>
      </c>
      <c r="H13" s="33">
        <f t="shared" ca="1" si="0"/>
        <v>304.69889619031221</v>
      </c>
      <c r="I13" s="33">
        <f t="shared" ca="1" si="0"/>
        <v>400.93086584489561</v>
      </c>
      <c r="J13" s="33">
        <f t="shared" ca="1" si="0"/>
        <v>493.66127859580502</v>
      </c>
      <c r="M13" s="58" t="s">
        <v>199</v>
      </c>
      <c r="N13" s="51">
        <v>1</v>
      </c>
    </row>
    <row r="14" spans="2:14" s="1" customFormat="1" x14ac:dyDescent="0.2">
      <c r="B14" s="30" t="s">
        <v>317</v>
      </c>
      <c r="C14" s="15">
        <f>SUM(C7:C13)</f>
        <v>70</v>
      </c>
      <c r="D14" s="15">
        <f t="shared" ref="D14:J14" si="1">SUM(D7:D13)</f>
        <v>77</v>
      </c>
      <c r="E14" s="15">
        <f t="shared" si="1"/>
        <v>157</v>
      </c>
      <c r="F14" s="15">
        <f t="shared" ca="1" si="1"/>
        <v>237.54422249916897</v>
      </c>
      <c r="G14" s="15">
        <f t="shared" ca="1" si="1"/>
        <v>303.54721250697105</v>
      </c>
      <c r="H14" s="15">
        <f t="shared" ca="1" si="1"/>
        <v>361.61292522673352</v>
      </c>
      <c r="I14" s="15">
        <f t="shared" ca="1" si="1"/>
        <v>435.66700498551319</v>
      </c>
      <c r="J14" s="15">
        <f t="shared" ca="1" si="1"/>
        <v>510.06850642392851</v>
      </c>
      <c r="K14" s="18"/>
      <c r="L14" s="18"/>
    </row>
    <row r="15" spans="2:14" s="1" customFormat="1" x14ac:dyDescent="0.2">
      <c r="B15" s="29"/>
      <c r="C15" s="18"/>
      <c r="D15" s="18"/>
      <c r="E15" s="18"/>
      <c r="F15" s="18"/>
      <c r="G15" s="18"/>
      <c r="H15" s="18"/>
      <c r="I15" s="18"/>
      <c r="J15" s="18"/>
      <c r="K15" s="18"/>
    </row>
    <row r="16" spans="2:14" s="1" customFormat="1" x14ac:dyDescent="0.2">
      <c r="B16" s="19" t="s">
        <v>34</v>
      </c>
      <c r="C16" s="51">
        <v>-71</v>
      </c>
      <c r="D16" s="51">
        <v>-77</v>
      </c>
      <c r="E16" s="51">
        <v>-82</v>
      </c>
      <c r="F16" s="33">
        <f>MIN(0,E16-F30)</f>
        <v>-68.333333333333329</v>
      </c>
      <c r="G16" s="33">
        <f>MIN(0,F16-G30)</f>
        <v>-54.666666666666664</v>
      </c>
      <c r="H16" s="33">
        <f>MIN(0,G16-H30)</f>
        <v>-41</v>
      </c>
      <c r="I16" s="33">
        <f>MIN(0,H16-I30)</f>
        <v>-27.333333333333336</v>
      </c>
      <c r="J16" s="33">
        <f>MIN(0,I16-J30)</f>
        <v>-13.66666666666667</v>
      </c>
      <c r="K16" s="18"/>
    </row>
    <row r="17" spans="2:12" s="1" customFormat="1" x14ac:dyDescent="0.2">
      <c r="B17" s="19" t="s">
        <v>33</v>
      </c>
      <c r="C17" s="51">
        <v>0</v>
      </c>
      <c r="D17" s="51">
        <v>0</v>
      </c>
      <c r="E17" s="51">
        <v>-3</v>
      </c>
      <c r="F17" s="33">
        <f>MIN(0,E17-F28)</f>
        <v>-2.7</v>
      </c>
      <c r="G17" s="33">
        <f>MIN(0,F17-G28)</f>
        <v>-2.4000000000000004</v>
      </c>
      <c r="H17" s="33">
        <f>MIN(0,G17-H28)</f>
        <v>-2.1000000000000005</v>
      </c>
      <c r="I17" s="33">
        <f>MIN(0,H17-I28)</f>
        <v>-1.8000000000000005</v>
      </c>
      <c r="J17" s="33">
        <f>MIN(0,I17-J28)</f>
        <v>-1.5000000000000004</v>
      </c>
    </row>
    <row r="18" spans="2:12" s="1" customFormat="1" x14ac:dyDescent="0.2">
      <c r="B18" s="19" t="s">
        <v>193</v>
      </c>
      <c r="C18" s="51">
        <v>0</v>
      </c>
      <c r="D18" s="51">
        <v>0</v>
      </c>
      <c r="E18" s="51">
        <f ca="1">-Schedules!C15</f>
        <v>-125.45997319707763</v>
      </c>
      <c r="F18" s="33">
        <f ca="1">MIN(0,E18-F27)</f>
        <v>-112.91397587736986</v>
      </c>
      <c r="G18" s="33">
        <f ca="1">MIN(0,F18-G27)</f>
        <v>-100.3679785576621</v>
      </c>
      <c r="H18" s="33">
        <f ca="1">MIN(0,G18-H27)</f>
        <v>-87.821981237954333</v>
      </c>
      <c r="I18" s="33">
        <f ca="1">MIN(0,H18-I27)</f>
        <v>-75.275983918246567</v>
      </c>
      <c r="J18" s="33">
        <f ca="1">MIN(0,I18-J27)</f>
        <v>-62.729986598538801</v>
      </c>
    </row>
    <row r="19" spans="2:12" s="1" customFormat="1" x14ac:dyDescent="0.2">
      <c r="B19" s="30" t="s">
        <v>318</v>
      </c>
      <c r="C19" s="15">
        <f t="shared" ref="C19:J19" si="2">SUM(C16:C18)</f>
        <v>-71</v>
      </c>
      <c r="D19" s="15">
        <f t="shared" si="2"/>
        <v>-77</v>
      </c>
      <c r="E19" s="15">
        <f t="shared" ca="1" si="2"/>
        <v>-210.45997319707763</v>
      </c>
      <c r="F19" s="15">
        <f t="shared" ca="1" si="2"/>
        <v>-183.9473092107032</v>
      </c>
      <c r="G19" s="15">
        <f t="shared" ca="1" si="2"/>
        <v>-157.43464522432876</v>
      </c>
      <c r="H19" s="15">
        <f t="shared" ca="1" si="2"/>
        <v>-130.92198123795433</v>
      </c>
      <c r="I19" s="15">
        <f t="shared" ca="1" si="2"/>
        <v>-104.40931725157991</v>
      </c>
      <c r="J19" s="15">
        <f t="shared" ca="1" si="2"/>
        <v>-77.896653265205472</v>
      </c>
    </row>
    <row r="20" spans="2:12" s="1" customFormat="1" x14ac:dyDescent="0.2">
      <c r="B20" s="29"/>
      <c r="C20" s="18"/>
      <c r="D20" s="18"/>
      <c r="E20" s="18"/>
      <c r="F20" s="18"/>
      <c r="G20" s="18"/>
      <c r="H20" s="18"/>
      <c r="I20" s="18"/>
      <c r="J20" s="18"/>
    </row>
    <row r="21" spans="2:12" s="13" customFormat="1" x14ac:dyDescent="0.2">
      <c r="B21" s="13" t="s">
        <v>319</v>
      </c>
      <c r="C21" s="33">
        <f t="shared" ref="C21:J21" si="3">C14+C19</f>
        <v>-1</v>
      </c>
      <c r="D21" s="33">
        <f t="shared" si="3"/>
        <v>0</v>
      </c>
      <c r="E21" s="33">
        <f t="shared" ca="1" si="3"/>
        <v>-53.45997319707763</v>
      </c>
      <c r="F21" s="33">
        <f t="shared" ca="1" si="3"/>
        <v>53.596913288465771</v>
      </c>
      <c r="G21" s="33">
        <f t="shared" ca="1" si="3"/>
        <v>146.11256728264229</v>
      </c>
      <c r="H21" s="33">
        <f t="shared" ca="1" si="3"/>
        <v>230.6909439887792</v>
      </c>
      <c r="I21" s="33">
        <f t="shared" ca="1" si="3"/>
        <v>331.25768773393327</v>
      </c>
      <c r="J21" s="33">
        <f t="shared" ca="1" si="3"/>
        <v>432.17185315872302</v>
      </c>
      <c r="K21" s="33"/>
      <c r="L21" s="33"/>
    </row>
    <row r="22" spans="2:12" s="13" customFormat="1" x14ac:dyDescent="0.2">
      <c r="B22" s="13" t="s">
        <v>320</v>
      </c>
      <c r="C22" s="33"/>
      <c r="D22" s="33"/>
      <c r="E22" s="33"/>
      <c r="F22" s="33">
        <f ca="1">F21-E21</f>
        <v>107.0568864855434</v>
      </c>
      <c r="G22" s="33">
        <f ca="1">G21-F21</f>
        <v>92.515653994176517</v>
      </c>
      <c r="H22" s="33">
        <f ca="1">H21-G21</f>
        <v>84.578376706136908</v>
      </c>
      <c r="I22" s="33">
        <f ca="1">I21-H21</f>
        <v>100.56674374515407</v>
      </c>
      <c r="J22" s="33">
        <f ca="1">J21-I21</f>
        <v>100.91416542478976</v>
      </c>
      <c r="K22" s="33"/>
      <c r="L22" s="33"/>
    </row>
    <row r="23" spans="2:12" s="13" customFormat="1" x14ac:dyDescent="0.2">
      <c r="C23" s="33"/>
      <c r="D23" s="33"/>
      <c r="E23" s="33"/>
      <c r="F23" s="33"/>
      <c r="G23" s="33"/>
      <c r="H23" s="33"/>
      <c r="I23" s="33"/>
      <c r="J23" s="33"/>
    </row>
    <row r="24" spans="2:12" s="13" customFormat="1" x14ac:dyDescent="0.2">
      <c r="B24" s="13" t="s">
        <v>321</v>
      </c>
      <c r="C24" s="33">
        <f t="shared" ref="C24:J24" si="4">IF(C21&lt;0,0,C21)</f>
        <v>0</v>
      </c>
      <c r="D24" s="33">
        <f t="shared" si="4"/>
        <v>0</v>
      </c>
      <c r="E24" s="33">
        <f t="shared" ca="1" si="4"/>
        <v>0</v>
      </c>
      <c r="F24" s="33">
        <f t="shared" ca="1" si="4"/>
        <v>53.596913288465771</v>
      </c>
      <c r="G24" s="33">
        <f t="shared" ca="1" si="4"/>
        <v>146.11256728264229</v>
      </c>
      <c r="H24" s="33">
        <f t="shared" ca="1" si="4"/>
        <v>230.6909439887792</v>
      </c>
      <c r="I24" s="33">
        <f t="shared" ca="1" si="4"/>
        <v>331.25768773393327</v>
      </c>
      <c r="J24" s="33">
        <f t="shared" ca="1" si="4"/>
        <v>432.17185315872302</v>
      </c>
      <c r="K24" s="33"/>
      <c r="L24" s="33"/>
    </row>
    <row r="25" spans="2:12" s="13" customFormat="1" x14ac:dyDescent="0.2">
      <c r="B25" s="13" t="s">
        <v>322</v>
      </c>
      <c r="C25" s="33">
        <f t="shared" ref="C25:J25" si="5">IF(C21&lt;0,-C21,0)</f>
        <v>1</v>
      </c>
      <c r="D25" s="33">
        <f t="shared" si="5"/>
        <v>0</v>
      </c>
      <c r="E25" s="33">
        <f t="shared" ca="1" si="5"/>
        <v>53.45997319707763</v>
      </c>
      <c r="F25" s="33">
        <f t="shared" ca="1" si="5"/>
        <v>0</v>
      </c>
      <c r="G25" s="33">
        <f t="shared" ca="1" si="5"/>
        <v>0</v>
      </c>
      <c r="H25" s="33">
        <f t="shared" ca="1" si="5"/>
        <v>0</v>
      </c>
      <c r="I25" s="33">
        <f t="shared" ca="1" si="5"/>
        <v>0</v>
      </c>
      <c r="J25" s="33">
        <f t="shared" ca="1" si="5"/>
        <v>0</v>
      </c>
    </row>
    <row r="26" spans="2:12" s="13" customFormat="1" x14ac:dyDescent="0.2">
      <c r="C26" s="33"/>
      <c r="D26" s="33"/>
      <c r="E26" s="33"/>
      <c r="F26" s="33"/>
      <c r="G26" s="33"/>
      <c r="H26" s="33"/>
      <c r="I26" s="33"/>
      <c r="J26" s="33"/>
    </row>
    <row r="27" spans="2:12" s="98" customFormat="1" x14ac:dyDescent="0.2">
      <c r="B27" s="98" t="s">
        <v>323</v>
      </c>
      <c r="C27" s="67"/>
      <c r="D27" s="67"/>
      <c r="E27" s="67"/>
      <c r="F27" s="67">
        <f ca="1">-Schedules!$C$16</f>
        <v>-12.545997319707762</v>
      </c>
      <c r="G27" s="67">
        <f ca="1">-Schedules!$C$16</f>
        <v>-12.545997319707762</v>
      </c>
      <c r="H27" s="67">
        <f ca="1">-Schedules!$C$16</f>
        <v>-12.545997319707762</v>
      </c>
      <c r="I27" s="67">
        <f ca="1">-Schedules!$C$16</f>
        <v>-12.545997319707762</v>
      </c>
      <c r="J27" s="67">
        <f ca="1">-Schedules!$C$16</f>
        <v>-12.545997319707762</v>
      </c>
    </row>
    <row r="28" spans="2:12" s="13" customFormat="1" x14ac:dyDescent="0.2">
      <c r="B28" s="13" t="s">
        <v>324</v>
      </c>
      <c r="C28" s="33"/>
      <c r="D28" s="33"/>
      <c r="E28" s="33"/>
      <c r="F28" s="33">
        <f>$E$17/$N$11</f>
        <v>-0.3</v>
      </c>
      <c r="G28" s="33">
        <f>$E$17/$N$11</f>
        <v>-0.3</v>
      </c>
      <c r="H28" s="33">
        <f>$E$17/$N$11</f>
        <v>-0.3</v>
      </c>
      <c r="I28" s="33">
        <f>$E$17/$N$11</f>
        <v>-0.3</v>
      </c>
      <c r="J28" s="33">
        <f>$E$17/$N$11</f>
        <v>-0.3</v>
      </c>
    </row>
    <row r="29" spans="2:12" s="13" customFormat="1" x14ac:dyDescent="0.2">
      <c r="B29" s="13" t="s">
        <v>325</v>
      </c>
      <c r="C29" s="33"/>
      <c r="D29" s="33"/>
      <c r="E29" s="33"/>
      <c r="F29" s="33">
        <f>$E$8/$N$10</f>
        <v>16.166666666666668</v>
      </c>
      <c r="G29" s="33">
        <f>$E$8/$N$10</f>
        <v>16.166666666666668</v>
      </c>
      <c r="H29" s="33">
        <f>$E$8/$N$10</f>
        <v>16.166666666666668</v>
      </c>
      <c r="I29" s="33">
        <f>$E$8/$N$10</f>
        <v>16.166666666666668</v>
      </c>
      <c r="J29" s="33">
        <f>$E$8/$N$10</f>
        <v>16.166666666666668</v>
      </c>
    </row>
    <row r="30" spans="2:12" s="13" customFormat="1" x14ac:dyDescent="0.2">
      <c r="B30" s="13" t="s">
        <v>326</v>
      </c>
      <c r="C30" s="33"/>
      <c r="D30" s="33"/>
      <c r="E30" s="33"/>
      <c r="F30" s="33">
        <f>$E$16/$N$10</f>
        <v>-13.666666666666666</v>
      </c>
      <c r="G30" s="33">
        <f>$E$16/$N$10</f>
        <v>-13.666666666666666</v>
      </c>
      <c r="H30" s="33">
        <f>$E$16/$N$10</f>
        <v>-13.666666666666666</v>
      </c>
      <c r="I30" s="33">
        <f>$E$16/$N$10</f>
        <v>-13.666666666666666</v>
      </c>
      <c r="J30" s="33">
        <f>$E$16/$N$10</f>
        <v>-13.666666666666666</v>
      </c>
    </row>
    <row r="31" spans="2:12" s="13" customFormat="1" x14ac:dyDescent="0.2">
      <c r="B31" s="13" t="s">
        <v>195</v>
      </c>
      <c r="C31" s="33"/>
      <c r="D31" s="33"/>
      <c r="E31" s="33"/>
      <c r="F31" s="33">
        <f>$E$11/$N$12</f>
        <v>1.2</v>
      </c>
      <c r="G31" s="33">
        <f>$E$11/$N$12</f>
        <v>1.2</v>
      </c>
      <c r="H31" s="33">
        <f>$E$11/$N$12</f>
        <v>1.2</v>
      </c>
      <c r="I31" s="33">
        <f>$E$11/$N$12</f>
        <v>1.2</v>
      </c>
      <c r="J31" s="33">
        <f>$E$11/$N$12</f>
        <v>1.2</v>
      </c>
    </row>
    <row r="32" spans="2:12" s="13" customFormat="1" x14ac:dyDescent="0.2">
      <c r="B32" s="13" t="s">
        <v>327</v>
      </c>
      <c r="C32" s="33"/>
      <c r="D32" s="33"/>
      <c r="E32" s="33"/>
      <c r="F32" s="33">
        <f>$E$10/$N$13</f>
        <v>1</v>
      </c>
      <c r="G32" s="33">
        <v>0</v>
      </c>
      <c r="H32" s="33">
        <v>0</v>
      </c>
      <c r="I32" s="33">
        <v>0</v>
      </c>
      <c r="J32" s="33">
        <v>0</v>
      </c>
    </row>
    <row r="34" spans="2:21" s="4" customFormat="1" x14ac:dyDescent="0.2">
      <c r="B34" s="5" t="s">
        <v>194</v>
      </c>
      <c r="C34" s="5"/>
      <c r="D34" s="5"/>
      <c r="E34" s="35"/>
    </row>
    <row r="35" spans="2:21" s="13" customFormat="1" x14ac:dyDescent="0.2">
      <c r="C35" s="33"/>
      <c r="D35" s="33"/>
      <c r="E35" s="33"/>
      <c r="F35" s="33"/>
      <c r="G35" s="33"/>
      <c r="H35" s="33"/>
      <c r="I35" s="33"/>
      <c r="J35" s="33"/>
    </row>
    <row r="36" spans="2:21" s="13" customFormat="1" x14ac:dyDescent="0.2">
      <c r="B36" s="69" t="s">
        <v>328</v>
      </c>
      <c r="C36" s="51">
        <v>-12</v>
      </c>
      <c r="D36" s="51">
        <v>3</v>
      </c>
      <c r="E36" s="51">
        <v>13</v>
      </c>
      <c r="F36" s="33">
        <f ca="1">F45*Assumptions!$C$27</f>
        <v>-84.354755776832121</v>
      </c>
      <c r="G36" s="33">
        <f ca="1">G45*Assumptions!$C$27</f>
        <v>-69.795685189209479</v>
      </c>
      <c r="H36" s="33">
        <f ca="1">H45*Assumptions!$C$27</f>
        <v>-52.416092237272466</v>
      </c>
      <c r="I36" s="33">
        <f ca="1">I45*Assumptions!$C$27</f>
        <v>-32.633651383101245</v>
      </c>
      <c r="J36" s="33">
        <f ca="1">J45*Assumptions!$C$27</f>
        <v>-10.348190344298626</v>
      </c>
      <c r="L36"/>
    </row>
    <row r="37" spans="2:21" s="13" customFormat="1" x14ac:dyDescent="0.2">
      <c r="B37" s="69" t="s">
        <v>329</v>
      </c>
      <c r="C37" s="51">
        <v>-2</v>
      </c>
      <c r="D37" s="51">
        <v>1</v>
      </c>
      <c r="E37" s="51">
        <v>6</v>
      </c>
      <c r="F37" s="33">
        <f ca="1">$N$40*F45</f>
        <v>-27.492537337620064</v>
      </c>
      <c r="G37" s="33">
        <f ca="1">$N$40*G45</f>
        <v>-22.747507990487581</v>
      </c>
      <c r="H37" s="33">
        <f ca="1">$N$40*H45</f>
        <v>-17.083226187481092</v>
      </c>
      <c r="I37" s="33">
        <f ca="1">$N$40*I45</f>
        <v>-10.635818583677258</v>
      </c>
      <c r="J37" s="33">
        <f ca="1">$N$40*J45</f>
        <v>-3.3726374618414372</v>
      </c>
    </row>
    <row r="38" spans="2:21" s="58" customFormat="1" x14ac:dyDescent="0.2">
      <c r="B38" s="113" t="s">
        <v>330</v>
      </c>
      <c r="C38" s="51">
        <v>13</v>
      </c>
      <c r="D38" s="51">
        <v>-5</v>
      </c>
      <c r="E38" s="51">
        <v>-84</v>
      </c>
      <c r="F38" s="51">
        <v>0</v>
      </c>
      <c r="G38" s="51">
        <v>0</v>
      </c>
      <c r="H38" s="51">
        <v>0</v>
      </c>
      <c r="I38" s="51">
        <v>0</v>
      </c>
      <c r="J38" s="51">
        <v>0</v>
      </c>
      <c r="M38" s="110"/>
      <c r="N38" s="110" t="s">
        <v>202</v>
      </c>
      <c r="Q38" s="162"/>
      <c r="R38" s="162"/>
      <c r="S38" s="162"/>
      <c r="T38" s="162"/>
      <c r="U38" s="162"/>
    </row>
    <row r="39" spans="2:21" s="13" customFormat="1" x14ac:dyDescent="0.2">
      <c r="B39" s="113" t="s">
        <v>331</v>
      </c>
      <c r="C39" s="51">
        <v>1</v>
      </c>
      <c r="D39" s="51">
        <v>1</v>
      </c>
      <c r="E39" s="51">
        <v>0</v>
      </c>
      <c r="F39" s="67">
        <f ca="1">'Financial Statements'!F33</f>
        <v>0</v>
      </c>
      <c r="G39" s="67">
        <f ca="1">'Financial Statements'!G33</f>
        <v>0</v>
      </c>
      <c r="H39" s="67">
        <f ca="1">'Financial Statements'!H33</f>
        <v>0</v>
      </c>
      <c r="I39" s="67">
        <f ca="1">'Financial Statements'!I33</f>
        <v>0</v>
      </c>
      <c r="J39" s="67">
        <f ca="1">'Financial Statements'!J33</f>
        <v>0</v>
      </c>
      <c r="M39" s="98" t="s">
        <v>200</v>
      </c>
      <c r="N39" s="112">
        <v>0.21</v>
      </c>
    </row>
    <row r="40" spans="2:21" s="58" customFormat="1" x14ac:dyDescent="0.2">
      <c r="B40" s="113" t="s">
        <v>332</v>
      </c>
      <c r="C40" s="51">
        <v>0</v>
      </c>
      <c r="D40" s="51">
        <v>0</v>
      </c>
      <c r="E40" s="51">
        <v>-5</v>
      </c>
      <c r="F40" s="51">
        <v>0</v>
      </c>
      <c r="G40" s="51">
        <v>0</v>
      </c>
      <c r="H40" s="51">
        <v>0</v>
      </c>
      <c r="I40" s="51">
        <v>0</v>
      </c>
      <c r="J40" s="51">
        <v>0</v>
      </c>
      <c r="M40" s="13" t="s">
        <v>201</v>
      </c>
      <c r="N40" s="111" cm="1">
        <f t="array" ref="N40">AVERAGE(C37:E37/C45:E45)</f>
        <v>6.8442292171105729E-2</v>
      </c>
    </row>
    <row r="41" spans="2:21" s="58" customFormat="1" x14ac:dyDescent="0.2">
      <c r="B41" s="113" t="s">
        <v>333</v>
      </c>
      <c r="C41" s="51">
        <v>0</v>
      </c>
      <c r="D41" s="51">
        <v>1</v>
      </c>
      <c r="E41" s="51">
        <v>0</v>
      </c>
      <c r="F41" s="51">
        <v>0</v>
      </c>
      <c r="G41" s="51">
        <v>0</v>
      </c>
      <c r="H41" s="51">
        <v>0</v>
      </c>
      <c r="I41" s="51">
        <v>0</v>
      </c>
      <c r="J41" s="51">
        <v>0</v>
      </c>
      <c r="M41" s="160" t="s">
        <v>203</v>
      </c>
      <c r="N41" s="161">
        <f>N39+(1-N39)*N40</f>
        <v>0.26406941081517354</v>
      </c>
    </row>
    <row r="42" spans="2:21" s="58" customFormat="1" x14ac:dyDescent="0.2">
      <c r="B42" s="113" t="s">
        <v>334</v>
      </c>
      <c r="C42" s="51">
        <v>0</v>
      </c>
      <c r="D42" s="51">
        <v>0</v>
      </c>
      <c r="E42" s="51">
        <v>0</v>
      </c>
      <c r="F42" s="51">
        <v>0</v>
      </c>
      <c r="G42" s="51">
        <v>0</v>
      </c>
      <c r="H42" s="51">
        <v>0</v>
      </c>
      <c r="I42" s="51">
        <v>0</v>
      </c>
      <c r="J42" s="51">
        <v>0</v>
      </c>
    </row>
    <row r="43" spans="2:21" s="1" customFormat="1" x14ac:dyDescent="0.2">
      <c r="B43" s="11" t="s">
        <v>335</v>
      </c>
      <c r="C43" s="15">
        <f t="shared" ref="C43:J43" si="6">SUM(C36:C42)</f>
        <v>0</v>
      </c>
      <c r="D43" s="15">
        <f t="shared" si="6"/>
        <v>1</v>
      </c>
      <c r="E43" s="15">
        <f t="shared" si="6"/>
        <v>-70</v>
      </c>
      <c r="F43" s="15">
        <f t="shared" ca="1" si="6"/>
        <v>-111.84729311445219</v>
      </c>
      <c r="G43" s="15">
        <f t="shared" ca="1" si="6"/>
        <v>-92.543193179697056</v>
      </c>
      <c r="H43" s="15">
        <f t="shared" ca="1" si="6"/>
        <v>-69.499318424753554</v>
      </c>
      <c r="I43" s="15">
        <f t="shared" ca="1" si="6"/>
        <v>-43.269469966778502</v>
      </c>
      <c r="J43" s="15">
        <f t="shared" ca="1" si="6"/>
        <v>-13.720827806140063</v>
      </c>
    </row>
    <row r="44" spans="2:21" s="1" customFormat="1" x14ac:dyDescent="0.2">
      <c r="C44" s="18"/>
      <c r="D44" s="18"/>
      <c r="E44" s="18"/>
      <c r="F44" s="18"/>
      <c r="G44" s="18"/>
      <c r="H44" s="18"/>
      <c r="I44" s="18"/>
      <c r="J44" s="18"/>
    </row>
    <row r="45" spans="2:21" s="140" customFormat="1" x14ac:dyDescent="0.2">
      <c r="B45" s="98" t="s">
        <v>336</v>
      </c>
      <c r="C45" s="67">
        <f>'Financial Statements'!C113</f>
        <v>-59</v>
      </c>
      <c r="D45" s="67">
        <f>'Financial Statements'!D113</f>
        <v>14</v>
      </c>
      <c r="E45" s="67">
        <f>'Financial Statements'!E113</f>
        <v>60</v>
      </c>
      <c r="F45" s="67">
        <f ca="1">'Financial Statements'!F113</f>
        <v>-401.68931322301012</v>
      </c>
      <c r="G45" s="67">
        <f ca="1">'Financial Statements'!G113</f>
        <v>-332.36040566290228</v>
      </c>
      <c r="H45" s="67">
        <f ca="1">'Financial Statements'!H113</f>
        <v>-249.60043922510698</v>
      </c>
      <c r="I45" s="67">
        <f ca="1">'Financial Statements'!I113</f>
        <v>-155.39833991952975</v>
      </c>
      <c r="J45" s="67">
        <f ca="1">'Financial Statements'!J113</f>
        <v>-49.277096877612507</v>
      </c>
    </row>
    <row r="46" spans="2:21" s="13" customFormat="1" x14ac:dyDescent="0.2">
      <c r="B46" s="19" t="s">
        <v>337</v>
      </c>
      <c r="C46" s="33">
        <f>C36/$N$39</f>
        <v>-57.142857142857146</v>
      </c>
      <c r="D46" s="33">
        <f>D36/$N$39</f>
        <v>14.285714285714286</v>
      </c>
      <c r="E46" s="33">
        <f>E36/$N$39</f>
        <v>61.904761904761905</v>
      </c>
      <c r="F46" s="33">
        <f ca="1">F45+SUM(F38:F42)+F70-SUM(F27:F32)/$N$41</f>
        <v>18.613026949180426</v>
      </c>
      <c r="G46" s="33">
        <f ca="1">G45+SUM(G38:G42)+G70-SUM(G27:G32)/$N$41</f>
        <v>89.92782385927525</v>
      </c>
      <c r="H46" s="33">
        <f ca="1">H45+SUM(H38:H42)+H70-SUM(H27:H32)/$N$41</f>
        <v>161.78569034011292</v>
      </c>
      <c r="I46" s="33">
        <f ca="1">I45+SUM(I38:I42)+I70-SUM(I27:I32)/$N$41</f>
        <v>243.65570670023146</v>
      </c>
      <c r="J46" s="33">
        <f ca="1">J45+SUM(J38:J42)+J70-SUM(J27:J32)/$N$41</f>
        <v>336.51696293464698</v>
      </c>
      <c r="L46" s="13" t="s">
        <v>231</v>
      </c>
    </row>
    <row r="47" spans="2:21" s="13" customFormat="1" x14ac:dyDescent="0.2">
      <c r="B47" s="19" t="s">
        <v>232</v>
      </c>
      <c r="C47" s="33"/>
      <c r="D47" s="33"/>
      <c r="E47" s="33"/>
      <c r="F47" s="33">
        <f ca="1">IF(F46&gt;0,MIN(0.8*F59/$N$41,0.8*F46),0)</f>
        <v>14.890421559344341</v>
      </c>
      <c r="G47" s="33">
        <f ca="1">IF(G46&gt;0,MIN(0.8*G59/$N$41,0.8*G46),0)</f>
        <v>71.942259087420197</v>
      </c>
      <c r="H47" s="33">
        <f ca="1">IF(H46&gt;0,MIN(0.8*H59/$N$41,0.8*H46),0)</f>
        <v>91.097700681896384</v>
      </c>
      <c r="I47" s="33">
        <f ca="1">IF(I46&gt;0,MIN(0.8*I59/$N$41,0.8*I46),0)</f>
        <v>18.219540136379276</v>
      </c>
      <c r="J47" s="33">
        <f ca="1">IF(J46&gt;0,MIN(0.8*J59/$N$41,0.8*J46),0)</f>
        <v>3.6439080272758546</v>
      </c>
    </row>
    <row r="48" spans="2:21" s="13" customFormat="1" x14ac:dyDescent="0.2">
      <c r="B48" s="11" t="s">
        <v>338</v>
      </c>
      <c r="C48" s="148"/>
      <c r="D48" s="148"/>
      <c r="E48" s="148"/>
      <c r="F48" s="148">
        <f ca="1">F46-F47</f>
        <v>3.7226053898360849</v>
      </c>
      <c r="G48" s="148">
        <f ca="1">G46-G47</f>
        <v>17.985564771855053</v>
      </c>
      <c r="H48" s="148">
        <f t="shared" ref="H48:J48" ca="1" si="7">H46-H47</f>
        <v>70.687989658216537</v>
      </c>
      <c r="I48" s="148">
        <f t="shared" ca="1" si="7"/>
        <v>225.4361665638522</v>
      </c>
      <c r="J48" s="148">
        <f t="shared" ca="1" si="7"/>
        <v>332.87305490737111</v>
      </c>
    </row>
    <row r="49" spans="2:12 16384:16384" s="13" customFormat="1" x14ac:dyDescent="0.2">
      <c r="C49" s="33"/>
      <c r="D49" s="33"/>
      <c r="E49" s="33"/>
      <c r="F49" s="33"/>
      <c r="G49" s="33"/>
      <c r="H49" s="33"/>
      <c r="I49" s="33"/>
      <c r="J49" s="33"/>
    </row>
    <row r="50" spans="2:12 16384:16384" s="13" customFormat="1" x14ac:dyDescent="0.2">
      <c r="B50" s="13" t="s">
        <v>339</v>
      </c>
      <c r="F50" s="33">
        <f ca="1">-F48*$N$41</f>
        <v>-0.98302621199140439</v>
      </c>
      <c r="G50" s="33">
        <f ca="1">-G48*$N$41</f>
        <v>-4.7494374924819054</v>
      </c>
      <c r="H50" s="33">
        <f t="shared" ref="H50:J50" ca="1" si="8">-H48*$N$41</f>
        <v>-18.666535780754323</v>
      </c>
      <c r="I50" s="33">
        <f t="shared" ca="1" si="8"/>
        <v>-59.530795680947776</v>
      </c>
      <c r="J50" s="33">
        <f t="shared" ca="1" si="8"/>
        <v>-87.901591485636402</v>
      </c>
    </row>
    <row r="51" spans="2:12 16384:16384" s="13" customFormat="1" x14ac:dyDescent="0.2">
      <c r="XFD51" s="33"/>
    </row>
    <row r="52" spans="2:12 16384:16384" s="13" customFormat="1" x14ac:dyDescent="0.2">
      <c r="B52" s="69" t="s">
        <v>340</v>
      </c>
      <c r="C52" s="33"/>
      <c r="D52" s="33"/>
      <c r="E52" s="33"/>
      <c r="F52" s="33">
        <f ca="1">IF(F45&gt;0,F45*0.15,0)</f>
        <v>0</v>
      </c>
      <c r="G52" s="33">
        <f ca="1">IF(G45&gt;0,G45*0.15,0)</f>
        <v>0</v>
      </c>
      <c r="H52" s="33">
        <f ca="1">IF(H45&gt;0,H45*0.15,0)</f>
        <v>0</v>
      </c>
      <c r="I52" s="33">
        <f ca="1">IF(I45&gt;0,I45*0.15,0)</f>
        <v>0</v>
      </c>
      <c r="J52" s="33">
        <f ca="1">IF(J45&gt;0,J45*0.15,0)</f>
        <v>0</v>
      </c>
      <c r="XFD52" s="33"/>
    </row>
    <row r="53" spans="2:12 16384:16384" s="13" customFormat="1" x14ac:dyDescent="0.2">
      <c r="XFD53" s="33"/>
    </row>
    <row r="54" spans="2:12 16384:16384" s="145" customFormat="1" x14ac:dyDescent="0.2">
      <c r="B54" s="5" t="s">
        <v>229</v>
      </c>
      <c r="C54" s="146"/>
      <c r="D54" s="146"/>
      <c r="E54" s="146"/>
      <c r="F54" s="146"/>
      <c r="G54" s="146"/>
      <c r="H54" s="146"/>
      <c r="I54" s="146"/>
      <c r="J54" s="146"/>
    </row>
    <row r="55" spans="2:12 16384:16384" s="13" customFormat="1" x14ac:dyDescent="0.2">
      <c r="C55" s="33"/>
      <c r="D55" s="33"/>
      <c r="E55" s="33"/>
      <c r="F55" s="33"/>
      <c r="G55" s="33"/>
      <c r="H55" s="33"/>
      <c r="I55" s="33"/>
      <c r="J55" s="33"/>
      <c r="K55" s="33"/>
    </row>
    <row r="56" spans="2:12 16384:16384" s="13" customFormat="1" x14ac:dyDescent="0.2">
      <c r="B56" s="13" t="s">
        <v>341</v>
      </c>
      <c r="C56" s="33">
        <f>SUM(C36:C37)</f>
        <v>-14</v>
      </c>
      <c r="D56" s="33">
        <f>SUM(D36:D37)</f>
        <v>4</v>
      </c>
      <c r="E56" s="33">
        <f>SUM(E36:E37)</f>
        <v>19</v>
      </c>
      <c r="F56" s="33">
        <f ca="1">F45*$N$41</f>
        <v>-106.07386027355199</v>
      </c>
      <c r="G56" s="33">
        <f ca="1">G45*$N$41</f>
        <v>-87.766216501694672</v>
      </c>
      <c r="H56" s="33">
        <f ca="1">H45*$N$41</f>
        <v>-65.911840925382535</v>
      </c>
      <c r="I56" s="33">
        <f ca="1">I45*$N$41</f>
        <v>-41.035948064206281</v>
      </c>
      <c r="J56" s="33">
        <f ca="1">J45*$N$41</f>
        <v>-13.012573939153363</v>
      </c>
      <c r="K56" s="33"/>
    </row>
    <row r="57" spans="2:12 16384:16384" s="13" customFormat="1" x14ac:dyDescent="0.2">
      <c r="B57" s="13" t="s">
        <v>228</v>
      </c>
      <c r="C57" s="33"/>
      <c r="D57" s="33"/>
      <c r="E57" s="33"/>
      <c r="F57" s="33">
        <f ca="1">IF(F56+F71&lt;=F59,F56+F71,F59)</f>
        <v>-3.2308662597507407</v>
      </c>
      <c r="G57" s="33">
        <f ca="1">IF(G56+G71&lt;=G59,G56+G71,G59)</f>
        <v>14.601190142701768</v>
      </c>
      <c r="H57" s="33">
        <f ca="1">IF(H56+H71&lt;=H59,H56+H71,H59)</f>
        <v>30.070145182106764</v>
      </c>
      <c r="I57" s="33">
        <f ca="1">IF(I56+I71&lt;=I59,I56+I71,I59)</f>
        <v>6.014029036421352</v>
      </c>
      <c r="J57" s="33">
        <f ca="1">IF(J56+J71&lt;=J59,J56+J71,J59)</f>
        <v>1.2028058072842702</v>
      </c>
      <c r="K57" s="33"/>
      <c r="L57" s="13" t="s">
        <v>356</v>
      </c>
    </row>
    <row r="58" spans="2:12 16384:16384" s="13" customFormat="1" x14ac:dyDescent="0.2">
      <c r="C58" s="33"/>
      <c r="D58" s="33"/>
      <c r="E58" s="33"/>
      <c r="F58" s="33"/>
      <c r="G58" s="33"/>
      <c r="H58" s="33"/>
      <c r="I58" s="33"/>
      <c r="J58" s="33"/>
      <c r="K58" s="33"/>
    </row>
    <row r="59" spans="2:12 16384:16384" s="13" customFormat="1" x14ac:dyDescent="0.2">
      <c r="B59" s="69" t="s">
        <v>342</v>
      </c>
      <c r="C59" s="33"/>
      <c r="D59" s="33">
        <f t="shared" ref="D59:J59" si="9">C62</f>
        <v>65</v>
      </c>
      <c r="E59" s="33">
        <f t="shared" si="9"/>
        <v>59</v>
      </c>
      <c r="F59" s="33">
        <f t="shared" si="9"/>
        <v>53</v>
      </c>
      <c r="G59" s="33">
        <f t="shared" ca="1" si="9"/>
        <v>49.067895152034382</v>
      </c>
      <c r="H59" s="33">
        <f t="shared" ca="1" si="9"/>
        <v>30.070145182106764</v>
      </c>
      <c r="I59" s="33">
        <f t="shared" ca="1" si="9"/>
        <v>6.014029036421352</v>
      </c>
      <c r="J59" s="33">
        <f t="shared" ca="1" si="9"/>
        <v>1.2028058072842702</v>
      </c>
      <c r="K59" s="33"/>
    </row>
    <row r="60" spans="2:12 16384:16384" s="13" customFormat="1" x14ac:dyDescent="0.2">
      <c r="B60" s="19" t="s">
        <v>343</v>
      </c>
      <c r="C60" s="33"/>
      <c r="D60" s="51">
        <v>0</v>
      </c>
      <c r="E60" s="51">
        <v>0</v>
      </c>
      <c r="F60" s="33">
        <f ca="1">IF(F50&gt;0,F50,0)</f>
        <v>0</v>
      </c>
      <c r="G60" s="33">
        <f ca="1">IF(G50&gt;0,G50,0)</f>
        <v>0</v>
      </c>
      <c r="H60" s="33">
        <f ca="1">IF(H50&gt;0,H50,0)</f>
        <v>0</v>
      </c>
      <c r="I60" s="33">
        <f ca="1">IF(I50&gt;0,I50,0)</f>
        <v>0</v>
      </c>
      <c r="J60" s="33">
        <f ca="1">IF(J50&gt;0,J50,0)</f>
        <v>0</v>
      </c>
    </row>
    <row r="61" spans="2:12 16384:16384" s="13" customFormat="1" x14ac:dyDescent="0.2">
      <c r="B61" s="19" t="s">
        <v>344</v>
      </c>
      <c r="C61" s="33"/>
      <c r="D61" s="33">
        <f>-(D62-D59)</f>
        <v>6</v>
      </c>
      <c r="E61" s="33">
        <f>-(E62-E59)</f>
        <v>6</v>
      </c>
      <c r="F61" s="33">
        <f ca="1">-IF(F47&gt;0,F47*$N$41,0)</f>
        <v>-3.932104847965618</v>
      </c>
      <c r="G61" s="33">
        <f ca="1">-IF(G47&gt;0,G47*$N$41,0)</f>
        <v>-18.997749969927618</v>
      </c>
      <c r="H61" s="33">
        <f ca="1">-IF(H47&gt;0,H47*$N$41,0)</f>
        <v>-24.056116145685412</v>
      </c>
      <c r="I61" s="33">
        <f ca="1">-IF(I47&gt;0,I47*$N$41,0)</f>
        <v>-4.8112232291370818</v>
      </c>
      <c r="J61" s="33">
        <f ca="1">-IF(J47&gt;0,J47*$N$41,0)</f>
        <v>-0.9622446458274162</v>
      </c>
      <c r="K61" s="33"/>
    </row>
    <row r="62" spans="2:12 16384:16384" s="1" customFormat="1" x14ac:dyDescent="0.2">
      <c r="B62" s="11" t="s">
        <v>345</v>
      </c>
      <c r="C62" s="15">
        <f>'Tax Schedules '!C7</f>
        <v>65</v>
      </c>
      <c r="D62" s="15">
        <f>'Tax Schedules '!D7</f>
        <v>59</v>
      </c>
      <c r="E62" s="15">
        <f>'Tax Schedules '!E7</f>
        <v>53</v>
      </c>
      <c r="F62" s="15">
        <f ca="1">SUM(F59:F61)</f>
        <v>49.067895152034382</v>
      </c>
      <c r="G62" s="15">
        <f t="shared" ref="G62:J62" ca="1" si="10">SUM(G59:G61)</f>
        <v>30.070145182106764</v>
      </c>
      <c r="H62" s="15">
        <f t="shared" ca="1" si="10"/>
        <v>6.014029036421352</v>
      </c>
      <c r="I62" s="15">
        <f t="shared" ca="1" si="10"/>
        <v>1.2028058072842702</v>
      </c>
      <c r="J62" s="15">
        <f t="shared" ca="1" si="10"/>
        <v>0.24056116145685402</v>
      </c>
      <c r="K62" s="18"/>
    </row>
    <row r="64" spans="2:12 16384:16384" s="145" customFormat="1" x14ac:dyDescent="0.2">
      <c r="B64" s="5" t="s">
        <v>230</v>
      </c>
      <c r="C64" s="146"/>
      <c r="D64" s="146"/>
      <c r="E64" s="146"/>
      <c r="F64" s="146"/>
      <c r="G64" s="146"/>
      <c r="H64" s="146"/>
      <c r="I64" s="146"/>
      <c r="J64" s="146"/>
    </row>
    <row r="66" spans="2:12" s="98" customFormat="1" x14ac:dyDescent="0.2">
      <c r="B66" s="98" t="s">
        <v>346</v>
      </c>
      <c r="C66" s="67">
        <f>'Financial Statements'!C109</f>
        <v>-60</v>
      </c>
      <c r="D66" s="67">
        <f>'Financial Statements'!D109</f>
        <v>5</v>
      </c>
      <c r="E66" s="67">
        <f>'Financial Statements'!E109</f>
        <v>43</v>
      </c>
      <c r="F66" s="67">
        <f ca="1">'Financial Statements'!F109</f>
        <v>-12.234912971468987</v>
      </c>
      <c r="G66" s="67">
        <f ca="1">'Financial Statements'!G109</f>
        <v>78.990001138761016</v>
      </c>
      <c r="H66" s="67">
        <f ca="1">'Financial Statements'!H109</f>
        <v>181.64409611138632</v>
      </c>
      <c r="I66" s="67">
        <f ca="1">'Financial Statements'!I109</f>
        <v>298.60126234012711</v>
      </c>
      <c r="J66" s="67">
        <f ca="1">'Financial Statements'!J109</f>
        <v>431.26019981786351</v>
      </c>
    </row>
    <row r="67" spans="2:12" s="98" customFormat="1" x14ac:dyDescent="0.2">
      <c r="B67" s="98" t="s">
        <v>347</v>
      </c>
      <c r="C67" s="67"/>
      <c r="D67" s="67"/>
      <c r="E67" s="67"/>
      <c r="F67" s="67">
        <f ca="1">'Ratios &amp; Statistics'!F28</f>
        <v>389.45440025154113</v>
      </c>
      <c r="G67" s="67">
        <f ca="1">'Ratios &amp; Statistics'!G28</f>
        <v>411.35040680166333</v>
      </c>
      <c r="H67" s="67">
        <f ca="1">'Ratios &amp; Statistics'!H28</f>
        <v>431.2445353364933</v>
      </c>
      <c r="I67" s="67">
        <f ca="1">'Ratios &amp; Statistics'!I28</f>
        <v>453.99960225965685</v>
      </c>
      <c r="J67" s="67">
        <f ca="1">'Ratios &amp; Statistics'!J28</f>
        <v>480.53729669547602</v>
      </c>
      <c r="L67" t="s">
        <v>227</v>
      </c>
    </row>
    <row r="68" spans="2:12" s="13" customFormat="1" x14ac:dyDescent="0.2">
      <c r="B68" s="13" t="s">
        <v>348</v>
      </c>
      <c r="C68" s="33"/>
      <c r="D68" s="33"/>
      <c r="E68" s="33"/>
      <c r="F68" s="33">
        <f ca="1">IF(F66&lt;0,0,F66*0.3)</f>
        <v>0</v>
      </c>
      <c r="G68" s="33">
        <f t="shared" ref="G68:J68" ca="1" si="11">IF(G66&lt;0,0,G66*0.3)</f>
        <v>23.697000341628303</v>
      </c>
      <c r="H68" s="33">
        <f t="shared" ca="1" si="11"/>
        <v>54.493228833415891</v>
      </c>
      <c r="I68" s="33">
        <f t="shared" ca="1" si="11"/>
        <v>89.580378702038132</v>
      </c>
      <c r="J68" s="33">
        <f t="shared" ca="1" si="11"/>
        <v>129.37805994535904</v>
      </c>
    </row>
    <row r="69" spans="2:12" s="13" customFormat="1" x14ac:dyDescent="0.2">
      <c r="B69" s="13" t="s">
        <v>349</v>
      </c>
      <c r="C69" s="33"/>
      <c r="D69" s="33"/>
      <c r="E69" s="33"/>
      <c r="F69" s="33">
        <f ca="1">MIN(F67,F68)</f>
        <v>0</v>
      </c>
      <c r="G69" s="33">
        <f t="shared" ref="G69:J69" ca="1" si="12">MIN(G67,G68)</f>
        <v>23.697000341628303</v>
      </c>
      <c r="H69" s="33">
        <f t="shared" ca="1" si="12"/>
        <v>54.493228833415891</v>
      </c>
      <c r="I69" s="33">
        <f t="shared" ca="1" si="12"/>
        <v>89.580378702038132</v>
      </c>
      <c r="J69" s="33">
        <f t="shared" ca="1" si="12"/>
        <v>129.37805994535904</v>
      </c>
    </row>
    <row r="70" spans="2:12" s="13" customFormat="1" x14ac:dyDescent="0.2">
      <c r="B70" s="13" t="s">
        <v>350</v>
      </c>
      <c r="C70" s="33"/>
      <c r="D70" s="33"/>
      <c r="E70" s="33"/>
      <c r="F70" s="33">
        <f ca="1">F67-F69</f>
        <v>389.45440025154113</v>
      </c>
      <c r="G70" s="33">
        <f t="shared" ref="G70:J70" ca="1" si="13">G67-G69</f>
        <v>387.653406460035</v>
      </c>
      <c r="H70" s="33">
        <f t="shared" ca="1" si="13"/>
        <v>376.75130650307739</v>
      </c>
      <c r="I70" s="33">
        <f t="shared" ca="1" si="13"/>
        <v>364.41922355761869</v>
      </c>
      <c r="J70" s="33">
        <f t="shared" ca="1" si="13"/>
        <v>351.15923675011697</v>
      </c>
    </row>
    <row r="71" spans="2:12" s="13" customFormat="1" x14ac:dyDescent="0.2">
      <c r="B71" s="13" t="s">
        <v>351</v>
      </c>
      <c r="C71" s="33"/>
      <c r="D71" s="33"/>
      <c r="E71" s="33"/>
      <c r="F71" s="33">
        <f ca="1">F70*$N$41</f>
        <v>102.84299401380125</v>
      </c>
      <c r="G71" s="33">
        <f t="shared" ref="G71:J71" ca="1" si="14">G70*$N$41</f>
        <v>102.36740664439644</v>
      </c>
      <c r="H71" s="33">
        <f t="shared" ca="1" si="14"/>
        <v>99.488495532114513</v>
      </c>
      <c r="I71" s="33">
        <f t="shared" ca="1" si="14"/>
        <v>96.231969654583381</v>
      </c>
      <c r="J71" s="33">
        <f t="shared" ca="1" si="14"/>
        <v>92.730412750909423</v>
      </c>
    </row>
    <row r="72" spans="2:12" s="13" customFormat="1" x14ac:dyDescent="0.2">
      <c r="C72" s="33"/>
      <c r="D72" s="33"/>
      <c r="E72" s="33"/>
      <c r="F72" s="33"/>
      <c r="G72" s="33"/>
      <c r="H72" s="33"/>
      <c r="I72" s="33"/>
      <c r="J72" s="33"/>
    </row>
    <row r="73" spans="2:12" x14ac:dyDescent="0.2">
      <c r="B73" s="69" t="s">
        <v>352</v>
      </c>
      <c r="C73" s="51"/>
      <c r="D73" s="33">
        <f>C76</f>
        <v>0</v>
      </c>
      <c r="E73" s="33">
        <f>D76</f>
        <v>0</v>
      </c>
      <c r="F73" s="33">
        <f t="shared" ref="F73:J73" si="15">E76</f>
        <v>0</v>
      </c>
      <c r="G73" s="33">
        <f t="shared" ca="1" si="15"/>
        <v>102.84299401380125</v>
      </c>
      <c r="H73" s="33">
        <f t="shared" ca="1" si="15"/>
        <v>205.21040065819767</v>
      </c>
      <c r="I73" s="33">
        <f t="shared" ca="1" si="15"/>
        <v>304.69889619031221</v>
      </c>
      <c r="J73" s="33">
        <f t="shared" ca="1" si="15"/>
        <v>400.93086584489561</v>
      </c>
    </row>
    <row r="74" spans="2:12" x14ac:dyDescent="0.2">
      <c r="B74" s="19" t="s">
        <v>353</v>
      </c>
      <c r="C74" s="33"/>
      <c r="D74" s="51"/>
      <c r="E74" s="51"/>
      <c r="F74" s="33">
        <f ca="1">IF(F71&gt;0,F71,0)</f>
        <v>102.84299401380125</v>
      </c>
      <c r="G74" s="33">
        <f t="shared" ref="G74:J74" ca="1" si="16">IF(G71&gt;0,G71,0)</f>
        <v>102.36740664439644</v>
      </c>
      <c r="H74" s="33">
        <f t="shared" ca="1" si="16"/>
        <v>99.488495532114513</v>
      </c>
      <c r="I74" s="33">
        <f t="shared" ca="1" si="16"/>
        <v>96.231969654583381</v>
      </c>
      <c r="J74" s="33">
        <f t="shared" ca="1" si="16"/>
        <v>92.730412750909423</v>
      </c>
    </row>
    <row r="75" spans="2:12" x14ac:dyDescent="0.2">
      <c r="B75" s="19" t="s">
        <v>354</v>
      </c>
      <c r="C75" s="33"/>
      <c r="D75" s="33"/>
      <c r="E75" s="33"/>
      <c r="F75" s="33">
        <f ca="1">-IF(F71&lt;0,MIN(-F71,F73),0)</f>
        <v>0</v>
      </c>
      <c r="G75" s="33">
        <f t="shared" ref="G75:J75" ca="1" si="17">-IF(G71&lt;0,MIN(-G71,G73),0)</f>
        <v>0</v>
      </c>
      <c r="H75" s="33">
        <f t="shared" ca="1" si="17"/>
        <v>0</v>
      </c>
      <c r="I75" s="33">
        <f t="shared" ca="1" si="17"/>
        <v>0</v>
      </c>
      <c r="J75" s="33">
        <f t="shared" ca="1" si="17"/>
        <v>0</v>
      </c>
    </row>
    <row r="76" spans="2:12" s="1" customFormat="1" x14ac:dyDescent="0.2">
      <c r="B76" s="11" t="s">
        <v>355</v>
      </c>
      <c r="C76" s="52">
        <v>0</v>
      </c>
      <c r="D76" s="15">
        <f>SUM(D73:D75)</f>
        <v>0</v>
      </c>
      <c r="E76" s="15">
        <f>SUM(E73:E75)</f>
        <v>0</v>
      </c>
      <c r="F76" s="15">
        <f t="shared" ref="F76:J76" ca="1" si="18">SUM(F73:F75)</f>
        <v>102.84299401380125</v>
      </c>
      <c r="G76" s="15">
        <f t="shared" ca="1" si="18"/>
        <v>205.21040065819767</v>
      </c>
      <c r="H76" s="15">
        <f t="shared" ca="1" si="18"/>
        <v>304.69889619031221</v>
      </c>
      <c r="I76" s="15">
        <f t="shared" ca="1" si="18"/>
        <v>400.93086584489561</v>
      </c>
      <c r="J76" s="15">
        <f t="shared" ca="1" si="18"/>
        <v>493.66127859580502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0DEF-1332-4B46-9315-011B6ED66BD2}">
  <dimension ref="B2:O44"/>
  <sheetViews>
    <sheetView showGridLines="0" topLeftCell="A10" zoomScale="120" zoomScaleNormal="120" workbookViewId="0">
      <selection activeCell="E17" sqref="E17"/>
    </sheetView>
  </sheetViews>
  <sheetFormatPr baseColWidth="10" defaultRowHeight="16" x14ac:dyDescent="0.2"/>
  <cols>
    <col min="1" max="1" width="2.5" customWidth="1"/>
    <col min="2" max="2" width="40.6640625" customWidth="1"/>
    <col min="4" max="4" width="10.83203125" customWidth="1"/>
    <col min="7" max="7" width="11.6640625" bestFit="1" customWidth="1"/>
    <col min="8" max="8" width="11.6640625" customWidth="1"/>
  </cols>
  <sheetData>
    <row r="2" spans="2:15" s="4" customFormat="1" x14ac:dyDescent="0.2">
      <c r="B2" s="5" t="s">
        <v>386</v>
      </c>
      <c r="C2" s="5"/>
      <c r="D2" s="5"/>
    </row>
    <row r="3" spans="2:15" x14ac:dyDescent="0.2">
      <c r="B3" s="1"/>
      <c r="L3" s="43"/>
    </row>
    <row r="4" spans="2:15" s="1" customFormat="1" x14ac:dyDescent="0.2">
      <c r="B4" s="117" t="s">
        <v>206</v>
      </c>
      <c r="C4" s="143" t="s">
        <v>1</v>
      </c>
      <c r="D4" s="143" t="s">
        <v>181</v>
      </c>
      <c r="E4" s="143" t="s">
        <v>113</v>
      </c>
      <c r="F4" s="143" t="s">
        <v>182</v>
      </c>
      <c r="G4" s="143" t="s">
        <v>189</v>
      </c>
      <c r="H4" s="143" t="s">
        <v>224</v>
      </c>
      <c r="I4" s="143" t="s">
        <v>183</v>
      </c>
      <c r="J4" s="143" t="s">
        <v>184</v>
      </c>
      <c r="N4" s="143" t="s">
        <v>218</v>
      </c>
      <c r="O4" s="143" t="s">
        <v>221</v>
      </c>
    </row>
    <row r="5" spans="2:15" x14ac:dyDescent="0.2">
      <c r="B5" s="116" t="e" vm="2">
        <v>#VALUE!</v>
      </c>
      <c r="C5" s="53">
        <v>11314</v>
      </c>
      <c r="D5" s="14" cm="1">
        <f t="array" aca="1" ref="D5" ca="1">_FV(B5,"Market cap",TRUE)/1000000</f>
        <v>40435.26124</v>
      </c>
      <c r="E5" s="53">
        <v>0</v>
      </c>
      <c r="F5" s="53">
        <v>749</v>
      </c>
      <c r="G5" s="53">
        <v>0</v>
      </c>
      <c r="H5" s="53">
        <v>4510</v>
      </c>
      <c r="I5" s="14">
        <f ca="1">D5+E5-F5+G5+H5</f>
        <v>44196.26124</v>
      </c>
      <c r="J5" s="43">
        <f t="shared" ref="J5:J9" ca="1" si="0">I5/C5</f>
        <v>3.9063338554003888</v>
      </c>
      <c r="L5" s="61" t="s">
        <v>185</v>
      </c>
      <c r="N5" t="s">
        <v>219</v>
      </c>
      <c r="O5" s="119" t="s">
        <v>207</v>
      </c>
    </row>
    <row r="6" spans="2:15" x14ac:dyDescent="0.2">
      <c r="B6" s="116" t="e" vm="3">
        <v>#VALUE!</v>
      </c>
      <c r="C6" s="53">
        <v>7549</v>
      </c>
      <c r="D6" s="14" cm="1">
        <f t="array" aca="1" ref="D6" ca="1">_FV(B6,"Market cap",TRUE)/1000000</f>
        <v>40967.044676999998</v>
      </c>
      <c r="E6" s="53">
        <v>11333</v>
      </c>
      <c r="F6" s="53">
        <v>616</v>
      </c>
      <c r="G6" s="53">
        <v>0</v>
      </c>
      <c r="H6" s="53">
        <v>1020</v>
      </c>
      <c r="I6" s="14">
        <f ca="1">D6+E6-F6+G6+H6</f>
        <v>52704.044676999998</v>
      </c>
      <c r="J6" s="43">
        <f t="shared" ca="1" si="0"/>
        <v>6.9815928834282683</v>
      </c>
      <c r="L6" s="61" t="s">
        <v>186</v>
      </c>
      <c r="N6" t="s">
        <v>220</v>
      </c>
      <c r="O6" s="119" t="s">
        <v>222</v>
      </c>
    </row>
    <row r="7" spans="2:15" x14ac:dyDescent="0.2">
      <c r="B7" s="116" t="e" vm="4">
        <v>#VALUE!</v>
      </c>
      <c r="C7" s="53">
        <v>1253</v>
      </c>
      <c r="D7" s="14" cm="1">
        <f t="array" aca="1" ref="D7" ca="1">_FV(B7,"Market cap",TRUE)/1000000</f>
        <v>3923.0621219999998</v>
      </c>
      <c r="E7" s="53">
        <f>247</f>
        <v>247</v>
      </c>
      <c r="F7" s="53">
        <v>321</v>
      </c>
      <c r="G7" s="53">
        <v>24</v>
      </c>
      <c r="H7" s="53">
        <v>550</v>
      </c>
      <c r="I7" s="14">
        <f ca="1">D7+E7-F7+G7+H7</f>
        <v>4423.0621219999994</v>
      </c>
      <c r="J7" s="43">
        <f t="shared" ca="1" si="0"/>
        <v>3.5299777509976051</v>
      </c>
      <c r="L7" s="61" t="s">
        <v>187</v>
      </c>
      <c r="N7" t="s">
        <v>220</v>
      </c>
      <c r="O7" s="119" t="s">
        <v>225</v>
      </c>
    </row>
    <row r="8" spans="2:15" x14ac:dyDescent="0.2">
      <c r="B8" s="116" t="e" vm="5">
        <v>#VALUE!</v>
      </c>
      <c r="C8" s="53">
        <v>36176</v>
      </c>
      <c r="D8" s="14" cm="1">
        <f t="array" aca="1" ref="D8" ca="1">_FV(B8,"Market cap",TRUE)/1000000</f>
        <v>93475.918000000005</v>
      </c>
      <c r="E8" s="53">
        <v>14320</v>
      </c>
      <c r="F8" s="53">
        <v>3286</v>
      </c>
      <c r="G8" s="53">
        <v>7</v>
      </c>
      <c r="H8" s="53">
        <v>10235</v>
      </c>
      <c r="I8" s="14">
        <f ca="1">D8+E8-F8+G8+H8</f>
        <v>114751.91800000001</v>
      </c>
      <c r="J8" s="43">
        <f t="shared" ca="1" si="0"/>
        <v>3.172045499778859</v>
      </c>
      <c r="L8" s="61" t="s">
        <v>188</v>
      </c>
      <c r="N8" t="s">
        <v>220</v>
      </c>
      <c r="O8" s="119" t="s">
        <v>223</v>
      </c>
    </row>
    <row r="9" spans="2:15" x14ac:dyDescent="0.2">
      <c r="B9" s="116" t="e" vm="6">
        <v>#VALUE!</v>
      </c>
      <c r="C9" s="53">
        <v>25920</v>
      </c>
      <c r="D9" s="14" cm="1">
        <f t="array" aca="1" ref="D9" ca="1">_FV(B9,"Market cap",TRUE)/1000000</f>
        <v>213025.18548799999</v>
      </c>
      <c r="E9" s="53">
        <v>38424</v>
      </c>
      <c r="F9" s="53">
        <v>1085</v>
      </c>
      <c r="G9" s="53">
        <v>0</v>
      </c>
      <c r="H9" s="53">
        <v>3524</v>
      </c>
      <c r="I9" s="14">
        <f ca="1">D9+E9-F9+G9+H9</f>
        <v>253888.18548799999</v>
      </c>
      <c r="J9" s="43">
        <f t="shared" ca="1" si="0"/>
        <v>9.7950688845679004</v>
      </c>
      <c r="L9" s="61" t="s">
        <v>190</v>
      </c>
      <c r="N9" t="s">
        <v>220</v>
      </c>
      <c r="O9" s="119" t="s">
        <v>222</v>
      </c>
    </row>
    <row r="10" spans="2:15" x14ac:dyDescent="0.2">
      <c r="D10" s="14"/>
    </row>
    <row r="11" spans="2:15" s="4" customFormat="1" x14ac:dyDescent="0.2">
      <c r="B11" s="5" t="s">
        <v>119</v>
      </c>
      <c r="C11" s="5"/>
      <c r="D11" s="5"/>
    </row>
    <row r="13" spans="2:15" s="72" customFormat="1" x14ac:dyDescent="0.2">
      <c r="B13" s="82" t="s">
        <v>357</v>
      </c>
      <c r="C13" s="63">
        <f>'Financial Statements'!J84</f>
        <v>2586.6235026999311</v>
      </c>
      <c r="D13" s="82"/>
    </row>
    <row r="14" spans="2:15" s="154" customFormat="1" x14ac:dyDescent="0.2">
      <c r="B14" s="156" t="s">
        <v>358</v>
      </c>
      <c r="C14" s="150">
        <f ca="1">J5</f>
        <v>3.9063338554003888</v>
      </c>
      <c r="D14" s="156"/>
    </row>
    <row r="15" spans="2:15" x14ac:dyDescent="0.2">
      <c r="B15" s="11" t="s">
        <v>291</v>
      </c>
      <c r="C15" s="15">
        <f ca="1">C13*C14</f>
        <v>10104.21495977108</v>
      </c>
      <c r="D15" s="1"/>
      <c r="F15" s="144"/>
      <c r="G15" s="144"/>
      <c r="H15" s="144"/>
      <c r="I15" s="144"/>
      <c r="J15" s="144"/>
      <c r="K15" s="123"/>
      <c r="L15" s="123"/>
    </row>
    <row r="16" spans="2:15" s="72" customFormat="1" x14ac:dyDescent="0.2">
      <c r="B16" s="102" t="s">
        <v>120</v>
      </c>
      <c r="C16" s="63">
        <f ca="1">-'Ratios &amp; Statistics'!J24</f>
        <v>-6125.5014977277924</v>
      </c>
      <c r="D16" s="102"/>
      <c r="E16" s="17"/>
      <c r="F16" s="158"/>
      <c r="G16" s="158"/>
      <c r="H16" s="158"/>
      <c r="I16" s="158"/>
      <c r="J16" s="158"/>
    </row>
    <row r="17" spans="2:10" s="72" customFormat="1" x14ac:dyDescent="0.2">
      <c r="B17" s="102" t="s">
        <v>121</v>
      </c>
      <c r="C17" s="63">
        <f ca="1">'Financial Statements'!J10</f>
        <v>100</v>
      </c>
      <c r="D17" s="102"/>
    </row>
    <row r="18" spans="2:10" s="72" customFormat="1" x14ac:dyDescent="0.2">
      <c r="B18" s="102" t="s">
        <v>122</v>
      </c>
      <c r="D18" s="102"/>
    </row>
    <row r="19" spans="2:10" x14ac:dyDescent="0.2">
      <c r="B19" s="11" t="s">
        <v>359</v>
      </c>
      <c r="C19" s="15">
        <f ca="1">SUM(C15:C18)</f>
        <v>4078.7134620432871</v>
      </c>
      <c r="D19" s="1"/>
      <c r="J19" s="43"/>
    </row>
    <row r="21" spans="2:10" s="72" customFormat="1" x14ac:dyDescent="0.2">
      <c r="B21" s="82" t="s">
        <v>5</v>
      </c>
      <c r="C21" s="63">
        <f ca="1">'Sources &amp; Uses'!C16</f>
        <v>1364.9980182831002</v>
      </c>
      <c r="D21" s="82"/>
    </row>
    <row r="22" spans="2:10" s="72" customFormat="1" x14ac:dyDescent="0.2">
      <c r="B22" s="82" t="s">
        <v>6</v>
      </c>
      <c r="C22" s="63">
        <f ca="1">'Sources &amp; Uses'!C17</f>
        <v>151.66644647589999</v>
      </c>
      <c r="D22" s="82"/>
    </row>
    <row r="23" spans="2:10" s="72" customFormat="1" x14ac:dyDescent="0.2">
      <c r="B23" s="82" t="s">
        <v>123</v>
      </c>
      <c r="C23" s="63">
        <f ca="1">SUM(C21:C22)*Assumptions!C31</f>
        <v>151.66644647590002</v>
      </c>
      <c r="D23" s="82"/>
    </row>
    <row r="24" spans="2:10" x14ac:dyDescent="0.2">
      <c r="B24" s="11" t="s">
        <v>360</v>
      </c>
      <c r="C24" s="15">
        <f ca="1">SUM(C21:C23)</f>
        <v>1668.3309112349002</v>
      </c>
      <c r="D24" s="1"/>
    </row>
    <row r="26" spans="2:10" x14ac:dyDescent="0.2">
      <c r="B26" s="24" t="s">
        <v>125</v>
      </c>
      <c r="C26" s="40">
        <f ca="1">C21/$C$24</f>
        <v>0.81818181818181823</v>
      </c>
      <c r="D26" s="24"/>
    </row>
    <row r="27" spans="2:10" x14ac:dyDescent="0.2">
      <c r="B27" s="24" t="s">
        <v>126</v>
      </c>
      <c r="C27" s="40">
        <f ca="1">C22/$C$24</f>
        <v>9.0909090909090884E-2</v>
      </c>
      <c r="D27" s="24"/>
    </row>
    <row r="28" spans="2:10" x14ac:dyDescent="0.2">
      <c r="B28" s="24" t="s">
        <v>127</v>
      </c>
      <c r="C28" s="40">
        <f ca="1">C23/$C$24</f>
        <v>9.0909090909090912E-2</v>
      </c>
      <c r="D28" s="24"/>
    </row>
    <row r="29" spans="2:10" x14ac:dyDescent="0.2">
      <c r="B29" s="11" t="s">
        <v>124</v>
      </c>
      <c r="C29" s="41">
        <f ca="1">SUM(C26:C28)</f>
        <v>1</v>
      </c>
      <c r="D29" s="1"/>
    </row>
    <row r="31" spans="2:10" x14ac:dyDescent="0.2">
      <c r="B31" s="42" t="s">
        <v>361</v>
      </c>
      <c r="D31" s="42"/>
    </row>
    <row r="32" spans="2:10" x14ac:dyDescent="0.2">
      <c r="B32" s="24"/>
      <c r="D32" s="24"/>
    </row>
    <row r="33" spans="2:8" x14ac:dyDescent="0.2">
      <c r="B33" s="19" t="s">
        <v>5</v>
      </c>
      <c r="C33" s="14">
        <f ca="1">C26*$C$19</f>
        <v>3337.1291962172349</v>
      </c>
      <c r="D33" s="19"/>
    </row>
    <row r="34" spans="2:8" x14ac:dyDescent="0.2">
      <c r="B34" s="19" t="s">
        <v>6</v>
      </c>
      <c r="C34" s="14">
        <f ca="1">C27*$C$19</f>
        <v>370.79213291302602</v>
      </c>
      <c r="D34" s="19"/>
    </row>
    <row r="35" spans="2:8" x14ac:dyDescent="0.2">
      <c r="B35" s="19" t="s">
        <v>123</v>
      </c>
      <c r="C35" s="14">
        <f ca="1">C28*$C$19</f>
        <v>370.79213291302614</v>
      </c>
      <c r="D35" s="19"/>
    </row>
    <row r="36" spans="2:8" x14ac:dyDescent="0.2">
      <c r="B36" s="11" t="s">
        <v>362</v>
      </c>
      <c r="C36" s="15">
        <f ca="1">SUM(C33:C35)</f>
        <v>4078.7134620432871</v>
      </c>
      <c r="D36" s="1"/>
    </row>
    <row r="38" spans="2:8" x14ac:dyDescent="0.2">
      <c r="B38" s="20" t="s">
        <v>130</v>
      </c>
      <c r="C38" s="20"/>
      <c r="D38" s="20"/>
    </row>
    <row r="40" spans="2:8" x14ac:dyDescent="0.2">
      <c r="B40" t="s">
        <v>129</v>
      </c>
      <c r="C40">
        <v>0</v>
      </c>
      <c r="D40">
        <v>1</v>
      </c>
      <c r="E40">
        <v>2</v>
      </c>
      <c r="F40">
        <v>3</v>
      </c>
      <c r="G40">
        <v>4</v>
      </c>
      <c r="H40">
        <v>5</v>
      </c>
    </row>
    <row r="41" spans="2:8" x14ac:dyDescent="0.2">
      <c r="B41" t="s">
        <v>363</v>
      </c>
      <c r="C41" s="14">
        <f ca="1">-C21</f>
        <v>-1364.9980182831002</v>
      </c>
      <c r="D41" s="14">
        <v>0</v>
      </c>
      <c r="E41" s="14">
        <v>0</v>
      </c>
      <c r="F41" s="14">
        <v>0</v>
      </c>
      <c r="G41" s="14">
        <v>0</v>
      </c>
      <c r="H41" s="14">
        <f ca="1">C33</f>
        <v>3337.1291962172349</v>
      </c>
    </row>
    <row r="43" spans="2:8" x14ac:dyDescent="0.2">
      <c r="B43" s="1" t="s">
        <v>128</v>
      </c>
      <c r="C43" s="45">
        <f ca="1">IRR(C41:H41)</f>
        <v>0.19577150469938065</v>
      </c>
    </row>
    <row r="44" spans="2:8" x14ac:dyDescent="0.2">
      <c r="B44" s="1" t="s">
        <v>131</v>
      </c>
      <c r="C44" s="44">
        <f ca="1">H41/-C41</f>
        <v>2.4447868432913102</v>
      </c>
    </row>
  </sheetData>
  <hyperlinks>
    <hyperlink ref="L5" r:id="rId1" location="i9dfd4dc468064b2c9c891f1ea8fab677_79" xr:uid="{B2112E81-1157-0042-BE46-A044E4CDF297}"/>
    <hyperlink ref="L6" r:id="rId2" xr:uid="{4073D263-0912-AD46-B915-ADA04773BACC}"/>
    <hyperlink ref="L8" r:id="rId3" xr:uid="{1650FC99-21AB-264C-B75B-07F9F8738570}"/>
    <hyperlink ref="L7" r:id="rId4" xr:uid="{CACEE39B-29A3-6E48-95E2-4FC2A6C9A08A}"/>
    <hyperlink ref="L9" r:id="rId5" xr:uid="{6ABFE67C-0BF3-DA46-B694-8B921AA946B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05AA7-69F2-2044-832F-80645A18A624}">
  <dimension ref="B2:J33"/>
  <sheetViews>
    <sheetView showGridLines="0" topLeftCell="A5" zoomScale="120" zoomScaleNormal="120" workbookViewId="0">
      <selection activeCell="K5" sqref="K5"/>
    </sheetView>
  </sheetViews>
  <sheetFormatPr baseColWidth="10" defaultRowHeight="16" x14ac:dyDescent="0.2"/>
  <cols>
    <col min="1" max="1" width="2.5" customWidth="1"/>
    <col min="2" max="2" width="43" customWidth="1"/>
  </cols>
  <sheetData>
    <row r="2" spans="2:10" x14ac:dyDescent="0.2">
      <c r="B2" s="2" t="s">
        <v>0</v>
      </c>
    </row>
    <row r="3" spans="2:10" x14ac:dyDescent="0.2">
      <c r="C3" s="137" t="s">
        <v>208</v>
      </c>
      <c r="D3" s="137" t="s">
        <v>209</v>
      </c>
      <c r="E3" s="137" t="s">
        <v>30</v>
      </c>
      <c r="F3" s="138" t="s">
        <v>210</v>
      </c>
      <c r="G3" s="138" t="s">
        <v>211</v>
      </c>
      <c r="H3" s="138" t="s">
        <v>212</v>
      </c>
      <c r="I3" s="138" t="s">
        <v>213</v>
      </c>
      <c r="J3" s="138" t="s">
        <v>214</v>
      </c>
    </row>
    <row r="4" spans="2:10" x14ac:dyDescent="0.2">
      <c r="C4" s="137"/>
      <c r="D4" s="137"/>
      <c r="E4" s="137"/>
      <c r="F4" s="138"/>
      <c r="G4" s="138"/>
      <c r="H4" s="138"/>
      <c r="I4" s="138"/>
      <c r="J4" s="138"/>
    </row>
    <row r="5" spans="2:10" s="4" customFormat="1" x14ac:dyDescent="0.2">
      <c r="B5" s="5" t="s">
        <v>216</v>
      </c>
    </row>
    <row r="7" spans="2:10" x14ac:dyDescent="0.2">
      <c r="B7" s="19" t="s">
        <v>364</v>
      </c>
      <c r="C7" s="51">
        <v>0</v>
      </c>
      <c r="D7" s="28">
        <f>'Financial Statements'!D84/'Financial Statements'!C84-1</f>
        <v>0.29255319148936176</v>
      </c>
      <c r="E7" s="28">
        <f>'Financial Statements'!E84/'Financial Statements'!D84-1</f>
        <v>0.32235939643347056</v>
      </c>
      <c r="F7" s="28">
        <f>'Financial Statements'!F84/'Financial Statements'!E84-1</f>
        <v>0.26707084468664855</v>
      </c>
      <c r="G7" s="28">
        <f>'Financial Statements'!G84/'Financial Statements'!F84-1</f>
        <v>0.24482758620689649</v>
      </c>
      <c r="H7" s="28">
        <f>'Financial Statements'!H84/'Financial Statements'!G84-1</f>
        <v>0.21433518005540142</v>
      </c>
      <c r="I7" s="28">
        <f>'Financial Statements'!I84/'Financial Statements'!H84-1</f>
        <v>0.19209580838323359</v>
      </c>
      <c r="J7" s="28">
        <f>'Financial Statements'!J84/'Financial Statements'!I84-1</f>
        <v>0.1751582278481012</v>
      </c>
    </row>
    <row r="8" spans="2:10" x14ac:dyDescent="0.2">
      <c r="B8" s="19" t="s">
        <v>365</v>
      </c>
      <c r="C8" s="28">
        <f>'Financial Statements'!C90/-'Financial Statements'!C84</f>
        <v>0.82624113475177308</v>
      </c>
      <c r="D8" s="28">
        <f>'Financial Statements'!D90/-'Financial Statements'!D84</f>
        <v>0.75171467764060351</v>
      </c>
      <c r="E8" s="28">
        <f>'Financial Statements'!E90/-'Financial Statements'!E84</f>
        <v>0.74896265560165975</v>
      </c>
      <c r="F8" s="28">
        <f>-'Financial Statements'!F90/'Financial Statements'!F84</f>
        <v>0.7157036179249221</v>
      </c>
      <c r="G8" s="28">
        <f>-'Financial Statements'!G90/'Financial Statements'!G84</f>
        <v>0.70204341800583214</v>
      </c>
      <c r="H8" s="28">
        <f>-'Financial Statements'!H90/'Financial Statements'!H84</f>
        <v>0.68903370379717477</v>
      </c>
      <c r="I8" s="28">
        <f>-'Financial Statements'!I90/'Financial Statements'!I84</f>
        <v>0.67664349978892979</v>
      </c>
      <c r="J8" s="28">
        <f>-'Financial Statements'!J90/'Financial Statements'!J84</f>
        <v>0.66484330549536319</v>
      </c>
    </row>
    <row r="9" spans="2:10" x14ac:dyDescent="0.2">
      <c r="B9" s="19" t="s">
        <v>366</v>
      </c>
      <c r="C9" s="28">
        <f>'Financial Statements'!C97/-'Financial Statements'!C84</f>
        <v>0.13475177304964539</v>
      </c>
      <c r="D9" s="28">
        <f>'Financial Statements'!D97/-'Financial Statements'!D84</f>
        <v>0.1467764060356653</v>
      </c>
      <c r="E9" s="28">
        <f>'Financial Statements'!E97/-'Financial Statements'!E84</f>
        <v>0.12551867219917012</v>
      </c>
      <c r="F9" s="28">
        <f>-'Financial Statements'!F97/'Financial Statements'!F84</f>
        <v>0.12149383325773534</v>
      </c>
      <c r="G9" s="28">
        <f>-'Financial Statements'!G97/'Financial Statements'!G84</f>
        <v>0.10985999932527415</v>
      </c>
      <c r="H9" s="28">
        <f>-'Financial Statements'!H97/'Financial Statements'!H84</f>
        <v>9.9655764457772605E-2</v>
      </c>
      <c r="I9" s="28">
        <f>-'Financial Statements'!I97/'Financial Statements'!I84</f>
        <v>9.124386453709539E-2</v>
      </c>
      <c r="J9" s="28">
        <f>-'Financial Statements'!J97/'Financial Statements'!J84</f>
        <v>8.4147035448077584E-2</v>
      </c>
    </row>
    <row r="10" spans="2:10" x14ac:dyDescent="0.2">
      <c r="B10" s="19" t="s">
        <v>367</v>
      </c>
      <c r="C10" s="28">
        <f>-'Financial Statements'!C107/'Financial Statements'!C84</f>
        <v>7.6241134751773049E-2</v>
      </c>
      <c r="D10" s="28">
        <f>-'Financial Statements'!D107/'Financial Statements'!D84</f>
        <v>6.584362139917696E-2</v>
      </c>
      <c r="E10" s="28">
        <f>-'Financial Statements'!E107/'Financial Statements'!E84</f>
        <v>6.3278008298755184E-2</v>
      </c>
      <c r="F10" s="28">
        <f ca="1">-'Financial Statements'!F107/'Financial Statements'!F84</f>
        <v>0.17281920928140096</v>
      </c>
      <c r="G10" s="28">
        <f ca="1">-'Financial Statements'!G107/'Financial Statements'!G84</f>
        <v>0.13614665056802813</v>
      </c>
      <c r="H10" s="28">
        <f ca="1">-'Financial Statements'!H107/'Financial Statements'!H84</f>
        <v>0.11293307885534196</v>
      </c>
      <c r="I10" s="28">
        <f ca="1">-'Financial Statements'!I107/'Financial Statements'!I84</f>
        <v>9.6451713271253875E-2</v>
      </c>
      <c r="J10" s="28">
        <f ca="1">-'Financial Statements'!J107/'Financial Statements'!J84</f>
        <v>8.4282572811610265E-2</v>
      </c>
    </row>
    <row r="11" spans="2:10" x14ac:dyDescent="0.2">
      <c r="B11" s="19" t="s">
        <v>368</v>
      </c>
      <c r="C11" s="28">
        <f>-'Financial Statements'!C111/'Financial Statements'!C84</f>
        <v>-1.7730496453900709E-3</v>
      </c>
      <c r="D11" s="28">
        <f>-'Financial Statements'!D111/'Financial Statements'!D84</f>
        <v>-1.2345679012345678E-2</v>
      </c>
      <c r="E11" s="28">
        <f>-'Financial Statements'!E111/'Financial Statements'!E84</f>
        <v>-1.7634854771784232E-2</v>
      </c>
      <c r="F11" s="28">
        <f ca="1">-'Financial Statements'!F111/'Financial Statements'!F84</f>
        <v>0.31884431892978154</v>
      </c>
      <c r="G11" s="28">
        <f ca="1">-'Financial Statements'!G111/'Financial Statements'!G84</f>
        <v>0.27053583231971362</v>
      </c>
      <c r="H11" s="28">
        <f ca="1">-'Financial Statements'!H111/'Financial Statements'!H84</f>
        <v>0.23355969099593341</v>
      </c>
      <c r="I11" s="28">
        <f ca="1">-'Financial Statements'!I111/'Financial Statements'!I84</f>
        <v>0.20626170274812269</v>
      </c>
      <c r="J11" s="28">
        <f ca="1">-'Financial Statements'!J111/'Financial Statements'!J84</f>
        <v>0.18577782819721875</v>
      </c>
    </row>
    <row r="12" spans="2:10" x14ac:dyDescent="0.2">
      <c r="B12" s="19" t="s">
        <v>369</v>
      </c>
      <c r="C12" s="28">
        <f>-'Financial Statements'!C115/'Financial Statements'!C84</f>
        <v>0</v>
      </c>
      <c r="D12" s="28">
        <f>-'Financial Statements'!D115/'Financial Statements'!D84</f>
        <v>1.3717421124828531E-3</v>
      </c>
      <c r="E12" s="28">
        <f>-'Financial Statements'!E115/'Financial Statements'!E84</f>
        <v>-7.2614107883817433E-2</v>
      </c>
      <c r="F12" s="28">
        <f ca="1">-'Financial Statements'!F115/'Financial Statements'!F113</f>
        <v>0.26406941081517354</v>
      </c>
      <c r="G12" s="28">
        <f ca="1">-'Financial Statements'!G115/'Financial Statements'!G113</f>
        <v>0.26406941081517354</v>
      </c>
      <c r="H12" s="28">
        <f ca="1">-'Financial Statements'!H115/'Financial Statements'!H113</f>
        <v>0.26406941081517354</v>
      </c>
      <c r="I12" s="28">
        <f ca="1">-'Financial Statements'!I115/'Financial Statements'!I113</f>
        <v>0.26406941081517354</v>
      </c>
      <c r="J12" s="28">
        <f ca="1">-'Financial Statements'!J115/'Financial Statements'!J113</f>
        <v>0.26406941081517354</v>
      </c>
    </row>
    <row r="13" spans="2:10" x14ac:dyDescent="0.2">
      <c r="B13" s="19"/>
      <c r="C13" s="28"/>
      <c r="D13" s="28"/>
      <c r="E13" s="28"/>
      <c r="F13" s="28"/>
      <c r="G13" s="28"/>
      <c r="H13" s="28"/>
      <c r="I13" s="28"/>
      <c r="J13" s="28"/>
    </row>
    <row r="14" spans="2:10" x14ac:dyDescent="0.2">
      <c r="B14" s="29" t="s">
        <v>217</v>
      </c>
      <c r="C14" s="28"/>
      <c r="D14" s="28"/>
      <c r="E14" s="28"/>
      <c r="F14" s="28"/>
      <c r="G14" s="28"/>
      <c r="H14" s="28"/>
      <c r="I14" s="28"/>
      <c r="J14" s="28"/>
    </row>
    <row r="15" spans="2:10" x14ac:dyDescent="0.2">
      <c r="B15" s="19"/>
      <c r="C15" s="28"/>
      <c r="D15" s="28"/>
      <c r="E15" s="28"/>
      <c r="F15" s="28"/>
      <c r="G15" s="28"/>
      <c r="H15" s="28"/>
      <c r="I15" s="28"/>
      <c r="J15" s="28"/>
    </row>
    <row r="16" spans="2:10" x14ac:dyDescent="0.2">
      <c r="B16" s="19" t="s">
        <v>370</v>
      </c>
      <c r="C16" s="28">
        <f>'Financial Statements'!C92/'Financial Statements'!C84</f>
        <v>0.17375886524822695</v>
      </c>
      <c r="D16" s="28">
        <f>'Financial Statements'!D92/'Financial Statements'!D84</f>
        <v>0.24828532235939643</v>
      </c>
      <c r="E16" s="28">
        <f>'Financial Statements'!E92/'Financial Statements'!E84</f>
        <v>0.25103734439834025</v>
      </c>
      <c r="F16" s="28">
        <f>'Financial Statements'!F92/'Financial Statements'!F84</f>
        <v>0.28429638207507796</v>
      </c>
      <c r="G16" s="28">
        <f>'Financial Statements'!G92/'Financial Statements'!G84</f>
        <v>0.29795658199416786</v>
      </c>
      <c r="H16" s="28">
        <f>'Financial Statements'!H92/'Financial Statements'!H84</f>
        <v>0.31096629620282518</v>
      </c>
      <c r="I16" s="28">
        <f>'Financial Statements'!I92/'Financial Statements'!I84</f>
        <v>0.32335650021107026</v>
      </c>
      <c r="J16" s="28">
        <f>'Financial Statements'!J92/'Financial Statements'!J84</f>
        <v>0.33515669450463687</v>
      </c>
    </row>
    <row r="17" spans="2:10" x14ac:dyDescent="0.2">
      <c r="B17" s="19" t="s">
        <v>371</v>
      </c>
      <c r="C17" s="28">
        <f>'Financial Statements'!C101/'Financial Statements'!C84</f>
        <v>-3.0141843971631204E-2</v>
      </c>
      <c r="D17" s="28">
        <f>'Financial Statements'!D101/'Financial Statements'!D84</f>
        <v>7.2702331961591218E-2</v>
      </c>
      <c r="E17" s="28">
        <f>'Financial Statements'!E101/'Financial Statements'!E84</f>
        <v>0.1078838174273859</v>
      </c>
      <c r="F17" s="28">
        <f>'Financial Statements'!F101/'Financial Statements'!F84</f>
        <v>0.1628025488173426</v>
      </c>
      <c r="G17" s="28">
        <f>'Financial Statements'!G101/'Financial Statements'!G84</f>
        <v>0.1880965826688937</v>
      </c>
      <c r="H17" s="28">
        <f>'Financial Statements'!H101/'Financial Statements'!H84</f>
        <v>0.21131053174505257</v>
      </c>
      <c r="I17" s="28">
        <f>'Financial Statements'!I101/'Financial Statements'!I84</f>
        <v>0.23211263567397486</v>
      </c>
      <c r="J17" s="28">
        <f>'Financial Statements'!J101/'Financial Statements'!J84</f>
        <v>0.25100965905655925</v>
      </c>
    </row>
    <row r="18" spans="2:10" x14ac:dyDescent="0.2">
      <c r="B18" s="19" t="s">
        <v>372</v>
      </c>
      <c r="C18" s="28">
        <f>'Financial Statements'!C109/'Financial Statements'!C84</f>
        <v>-0.10638297872340426</v>
      </c>
      <c r="D18" s="28">
        <f>'Financial Statements'!D109/'Financial Statements'!D84</f>
        <v>6.8587105624142658E-3</v>
      </c>
      <c r="E18" s="28">
        <f>'Financial Statements'!E109/'Financial Statements'!E84</f>
        <v>4.4605809128630707E-2</v>
      </c>
      <c r="F18" s="28">
        <f ca="1">'Financial Statements'!F109/'Financial Statements'!F84</f>
        <v>-1.0016660464058377E-2</v>
      </c>
      <c r="G18" s="28">
        <f ca="1">'Financial Statements'!G109/'Financial Statements'!G84</f>
        <v>5.194993210086557E-2</v>
      </c>
      <c r="H18" s="28">
        <f ca="1">'Financial Statements'!H109/'Financial Statements'!H84</f>
        <v>9.8377452889710615E-2</v>
      </c>
      <c r="I18" s="28">
        <f ca="1">'Financial Statements'!I109/'Financial Statements'!I84</f>
        <v>0.13566092240272098</v>
      </c>
      <c r="J18" s="28">
        <f ca="1">'Financial Statements'!J109/'Financial Statements'!J84</f>
        <v>0.166727086244949</v>
      </c>
    </row>
    <row r="19" spans="2:10" x14ac:dyDescent="0.2">
      <c r="B19" s="19" t="s">
        <v>373</v>
      </c>
      <c r="C19" s="28">
        <f>'Financial Statements'!C113/'Financial Statements'!C84</f>
        <v>-0.10460992907801418</v>
      </c>
      <c r="D19" s="28">
        <f>'Financial Statements'!D113/'Financial Statements'!D84</f>
        <v>1.9204389574759947E-2</v>
      </c>
      <c r="E19" s="28">
        <f>'Financial Statements'!E113/'Financial Statements'!E84</f>
        <v>6.2240663900414939E-2</v>
      </c>
      <c r="F19" s="28">
        <f ca="1">'Financial Statements'!F113/'Financial Statements'!F84</f>
        <v>-0.3288609793938399</v>
      </c>
      <c r="G19" s="28">
        <f ca="1">'Financial Statements'!G113/'Financial Statements'!G84</f>
        <v>-0.21858590021884805</v>
      </c>
      <c r="H19" s="28">
        <f ca="1">'Financial Statements'!H113/'Financial Statements'!H84</f>
        <v>-0.13518223810622279</v>
      </c>
      <c r="I19" s="28">
        <f ca="1">'Financial Statements'!I113/'Financial Statements'!I84</f>
        <v>-7.0600780345401709E-2</v>
      </c>
      <c r="J19" s="28">
        <f ca="1">'Financial Statements'!J113/'Financial Statements'!J84</f>
        <v>-1.9050741952269752E-2</v>
      </c>
    </row>
    <row r="20" spans="2:10" x14ac:dyDescent="0.2">
      <c r="B20" s="19" t="s">
        <v>374</v>
      </c>
      <c r="C20" s="28">
        <f>'Financial Statements'!C117/'Financial Statements'!C84</f>
        <v>-0.10460992907801418</v>
      </c>
      <c r="D20" s="28">
        <f>'Financial Statements'!D117/'Financial Statements'!D84</f>
        <v>1.7832647462277092E-2</v>
      </c>
      <c r="E20" s="28">
        <f>'Financial Statements'!E117/'Financial Statements'!E84</f>
        <v>0.13485477178423236</v>
      </c>
      <c r="F20" s="28">
        <f ca="1">'Financial Statements'!F117/'Financial Statements'!F84</f>
        <v>-0.24201885432520767</v>
      </c>
      <c r="G20" s="28">
        <f ca="1">'Financial Statements'!G117/'Financial Statements'!G84</f>
        <v>-0.16086405033555254</v>
      </c>
      <c r="H20" s="28">
        <f ca="1">'Financial Statements'!H117/'Financial Statements'!H84</f>
        <v>-9.9484744136836029E-2</v>
      </c>
      <c r="I20" s="28">
        <f ca="1">'Financial Statements'!I117/'Financial Statements'!I84</f>
        <v>-5.1957273876499996E-2</v>
      </c>
      <c r="J20" s="28">
        <f ca="1">'Financial Statements'!J117/'Financial Statements'!J84</f>
        <v>-1.4020023749341968E-2</v>
      </c>
    </row>
    <row r="22" spans="2:10" s="4" customFormat="1" x14ac:dyDescent="0.2">
      <c r="B22" s="5" t="s">
        <v>112</v>
      </c>
      <c r="C22" s="5"/>
      <c r="D22" s="5"/>
    </row>
    <row r="24" spans="2:10" x14ac:dyDescent="0.2">
      <c r="B24" s="1" t="s">
        <v>375</v>
      </c>
      <c r="C24" s="1"/>
      <c r="D24" s="1"/>
      <c r="E24" s="1"/>
      <c r="F24" s="18">
        <f ca="1">Schedules!F200+Schedules!F185+Schedules!F171+Schedules!F156+Schedules!F135</f>
        <v>5170.6576439860964</v>
      </c>
      <c r="G24" s="18">
        <f ca="1">Schedules!G200+Schedules!G185+Schedules!G171+Schedules!G156+Schedules!G135</f>
        <v>5489.5362603067315</v>
      </c>
      <c r="H24" s="18">
        <f ca="1">Schedules!H200+Schedules!H185+Schedules!H171+Schedules!H156+Schedules!H135</f>
        <v>5752.8346250657933</v>
      </c>
      <c r="I24" s="18">
        <f ca="1">Schedules!I200+Schedules!I185+Schedules!I171+Schedules!I156+Schedules!I135</f>
        <v>5973.6723406243591</v>
      </c>
      <c r="J24" s="18">
        <f ca="1">Schedules!J200+Schedules!J185+Schedules!J171+Schedules!J156+Schedules!J135</f>
        <v>6125.5014977277924</v>
      </c>
    </row>
    <row r="25" spans="2:10" x14ac:dyDescent="0.2">
      <c r="F25" s="14"/>
      <c r="G25" s="14"/>
      <c r="H25" s="14"/>
      <c r="I25" s="14"/>
      <c r="J25" s="14"/>
    </row>
    <row r="26" spans="2:10" x14ac:dyDescent="0.2">
      <c r="B26" s="24" t="s">
        <v>114</v>
      </c>
      <c r="C26" s="24"/>
      <c r="D26" s="24"/>
      <c r="F26" s="14">
        <f ca="1">Schedules!F203+Schedules!F188+Schedules!F159+Schedules!F138+Schedules!F174</f>
        <v>379.81440025154114</v>
      </c>
      <c r="G26" s="14">
        <f ca="1">Schedules!G203+Schedules!G188+Schedules!G159+Schedules!G138+Schedules!G174</f>
        <v>401.51760680166331</v>
      </c>
      <c r="H26" s="14">
        <f ca="1">Schedules!H203+Schedules!H188+Schedules!H159+Schedules!H138+Schedules!H174</f>
        <v>421.21507933649332</v>
      </c>
      <c r="I26" s="14">
        <f ca="1">Schedules!I203+Schedules!I188+Schedules!I159+Schedules!I138+Schedules!I174</f>
        <v>443.76955713965685</v>
      </c>
      <c r="J26" s="14">
        <f ca="1">Schedules!J203+Schedules!J188+Schedules!J159+Schedules!J138+Schedules!J174</f>
        <v>470.10265067307603</v>
      </c>
    </row>
    <row r="27" spans="2:10" s="72" customFormat="1" x14ac:dyDescent="0.2">
      <c r="B27" s="82" t="s">
        <v>115</v>
      </c>
      <c r="C27" s="82"/>
      <c r="D27" s="82"/>
      <c r="F27" s="63">
        <f>Schedules!F206</f>
        <v>9.64</v>
      </c>
      <c r="G27" s="63">
        <f ca="1">Schedules!G206</f>
        <v>9.8328000000000007</v>
      </c>
      <c r="H27" s="63">
        <f ca="1">Schedules!H206</f>
        <v>10.029456</v>
      </c>
      <c r="I27" s="63">
        <f ca="1">Schedules!I206</f>
        <v>10.23004512</v>
      </c>
      <c r="J27" s="63">
        <f ca="1">Schedules!J206</f>
        <v>10.434646022400001</v>
      </c>
    </row>
    <row r="28" spans="2:10" x14ac:dyDescent="0.2">
      <c r="B28" s="11" t="s">
        <v>116</v>
      </c>
      <c r="C28" s="11"/>
      <c r="D28" s="11"/>
      <c r="E28" s="12"/>
      <c r="F28" s="15">
        <f ca="1">SUM(F26:F27)</f>
        <v>389.45440025154113</v>
      </c>
      <c r="G28" s="15">
        <f ca="1">SUM(G26:G27)</f>
        <v>411.35040680166333</v>
      </c>
      <c r="H28" s="15">
        <f ca="1">SUM(H26:H27)</f>
        <v>431.2445353364933</v>
      </c>
      <c r="I28" s="15">
        <f ca="1">SUM(I26:I27)</f>
        <v>453.99960225965685</v>
      </c>
      <c r="J28" s="15">
        <f ca="1">SUM(J26:J27)</f>
        <v>480.53729669547602</v>
      </c>
    </row>
    <row r="29" spans="2:10" x14ac:dyDescent="0.2">
      <c r="F29" s="14"/>
      <c r="G29" s="14"/>
      <c r="H29" s="14"/>
      <c r="I29" s="14"/>
      <c r="J29" s="14"/>
    </row>
    <row r="30" spans="2:10" s="72" customFormat="1" x14ac:dyDescent="0.2">
      <c r="B30" s="72" t="s">
        <v>117</v>
      </c>
      <c r="F30" s="63">
        <f>-Schedules!F129</f>
        <v>231.36</v>
      </c>
      <c r="G30" s="63">
        <f ca="1">-Schedules!G129</f>
        <v>230.58880000000002</v>
      </c>
      <c r="H30" s="63">
        <f ca="1">-Schedules!H129</f>
        <v>240.62571632641271</v>
      </c>
      <c r="I30" s="63">
        <f ca="1">-Schedules!I129</f>
        <v>249.54709450159393</v>
      </c>
      <c r="J30" s="63">
        <f ca="1">-Schedules!J129</f>
        <v>249.50505810996813</v>
      </c>
    </row>
    <row r="32" spans="2:10" x14ac:dyDescent="0.2">
      <c r="B32" t="s">
        <v>376</v>
      </c>
      <c r="F32" s="39">
        <f ca="1">F24/'Financial Statements'!F46</f>
        <v>4.2346028652227519</v>
      </c>
      <c r="G32" s="39">
        <f ca="1">G24/'Financial Statements'!G46</f>
        <v>5.6219050108412052</v>
      </c>
      <c r="H32" s="39">
        <f ca="1">H24/'Financial Statements'!H46</f>
        <v>7.2566595906538636</v>
      </c>
      <c r="I32" s="39">
        <f ca="1">I24/'Financial Statements'!I46</f>
        <v>8.8054814175647724</v>
      </c>
      <c r="J32" s="39">
        <f ca="1">J24/'Financial Statements'!J46</f>
        <v>9.5392096490314344</v>
      </c>
    </row>
    <row r="33" spans="2:10" x14ac:dyDescent="0.2">
      <c r="B33" t="s">
        <v>118</v>
      </c>
      <c r="F33" s="39">
        <f ca="1">F24/'Financial Statements'!F101</f>
        <v>26.00199388591793</v>
      </c>
      <c r="G33" s="39">
        <f ca="1">G24/'Financial Statements'!G101</f>
        <v>19.194093979440236</v>
      </c>
      <c r="H33" s="39">
        <f ca="1">H24/'Financial Statements'!H101</f>
        <v>14.74466921644555</v>
      </c>
      <c r="I33" s="39">
        <f ca="1">I24/'Financial Statements'!I101</f>
        <v>11.69245590628196</v>
      </c>
      <c r="J33" s="39">
        <f ca="1">J24/'Financial Statements'!J101</f>
        <v>9.4344806311794862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351D-F01F-A94F-9A46-D4A4C3152C5D}">
  <dimension ref="B3:M35"/>
  <sheetViews>
    <sheetView showGridLines="0" zoomScale="125" workbookViewId="0">
      <selection activeCell="H7" sqref="H7"/>
    </sheetView>
  </sheetViews>
  <sheetFormatPr baseColWidth="10" defaultRowHeight="16" x14ac:dyDescent="0.2"/>
  <cols>
    <col min="1" max="1" width="2.5" customWidth="1"/>
    <col min="2" max="2" width="11.5" bestFit="1" customWidth="1"/>
    <col min="5" max="5" width="11.5" customWidth="1"/>
  </cols>
  <sheetData>
    <row r="3" spans="2:13" x14ac:dyDescent="0.2">
      <c r="B3" s="118"/>
      <c r="C3" s="190" t="s">
        <v>380</v>
      </c>
      <c r="D3" s="191"/>
      <c r="E3" s="191"/>
      <c r="F3" s="191"/>
      <c r="G3" s="192"/>
      <c r="H3" s="70"/>
      <c r="I3" s="190" t="s">
        <v>381</v>
      </c>
      <c r="J3" s="191"/>
      <c r="K3" s="191"/>
      <c r="L3" s="191"/>
      <c r="M3" s="192"/>
    </row>
    <row r="4" spans="2:13" x14ac:dyDescent="0.2">
      <c r="C4" s="126"/>
      <c r="D4" s="21"/>
      <c r="E4" s="127"/>
      <c r="F4" s="21"/>
      <c r="G4" s="128"/>
      <c r="I4" s="126"/>
      <c r="J4" s="21"/>
      <c r="K4" s="127"/>
      <c r="L4" s="21"/>
      <c r="M4" s="128"/>
    </row>
    <row r="5" spans="2:13" s="1" customFormat="1" x14ac:dyDescent="0.2">
      <c r="B5" s="121"/>
      <c r="C5" s="163">
        <v>0.01</v>
      </c>
      <c r="D5" s="164">
        <v>0.02</v>
      </c>
      <c r="E5" s="164">
        <v>0.03</v>
      </c>
      <c r="F5" s="164">
        <v>0.04</v>
      </c>
      <c r="G5" s="165">
        <v>0.05</v>
      </c>
      <c r="I5" s="163">
        <v>0.2</v>
      </c>
      <c r="J5" s="164">
        <v>0.22500000000000001</v>
      </c>
      <c r="K5" s="164">
        <v>0.25</v>
      </c>
      <c r="L5" s="164">
        <v>0.27500000000000002</v>
      </c>
      <c r="M5" s="165">
        <v>0.3</v>
      </c>
    </row>
    <row r="6" spans="2:13" x14ac:dyDescent="0.2">
      <c r="B6" s="124">
        <f ca="1">Assumptions!G2</f>
        <v>0.19577150469938065</v>
      </c>
      <c r="C6" s="129">
        <v>0.18792608353519813</v>
      </c>
      <c r="D6" s="130">
        <v>0.1760104230541073</v>
      </c>
      <c r="E6" s="130">
        <v>0.16276730031832054</v>
      </c>
      <c r="F6" s="130">
        <v>0.14785602397155584</v>
      </c>
      <c r="G6" s="131">
        <v>0.13111049064042057</v>
      </c>
      <c r="I6" s="129">
        <v>0.14691519693610045</v>
      </c>
      <c r="J6" s="130">
        <v>0.14635958372562707</v>
      </c>
      <c r="K6" s="130">
        <v>0.14580289125134871</v>
      </c>
      <c r="L6" s="130">
        <v>0.14524511474964008</v>
      </c>
      <c r="M6" s="131">
        <v>0.14468624954057341</v>
      </c>
    </row>
    <row r="9" spans="2:13" x14ac:dyDescent="0.2">
      <c r="B9" s="21"/>
      <c r="C9" s="190" t="s">
        <v>174</v>
      </c>
      <c r="D9" s="191"/>
      <c r="E9" s="191"/>
      <c r="F9" s="191"/>
      <c r="G9" s="192"/>
      <c r="I9" s="190" t="s">
        <v>378</v>
      </c>
      <c r="J9" s="191"/>
      <c r="K9" s="191"/>
      <c r="L9" s="191"/>
      <c r="M9" s="192"/>
    </row>
    <row r="10" spans="2:13" x14ac:dyDescent="0.2">
      <c r="B10" s="21"/>
      <c r="C10" s="126"/>
      <c r="D10" s="21"/>
      <c r="E10" s="127"/>
      <c r="F10" s="21"/>
      <c r="G10" s="128"/>
      <c r="I10" s="126"/>
      <c r="J10" s="21"/>
      <c r="K10" s="127"/>
      <c r="L10" s="21"/>
      <c r="M10" s="128"/>
    </row>
    <row r="11" spans="2:13" x14ac:dyDescent="0.2">
      <c r="B11" s="120"/>
      <c r="C11" s="163">
        <v>0.05</v>
      </c>
      <c r="D11" s="164">
        <v>0.1</v>
      </c>
      <c r="E11" s="164">
        <v>0.15</v>
      </c>
      <c r="F11" s="164">
        <v>0.2</v>
      </c>
      <c r="G11" s="165">
        <v>0.25</v>
      </c>
      <c r="I11" s="163">
        <v>0.01</v>
      </c>
      <c r="J11" s="164">
        <v>0.02</v>
      </c>
      <c r="K11" s="164">
        <v>0.03</v>
      </c>
      <c r="L11" s="164">
        <v>0.04</v>
      </c>
      <c r="M11" s="165">
        <v>0.05</v>
      </c>
    </row>
    <row r="12" spans="2:13" x14ac:dyDescent="0.2">
      <c r="B12" s="125">
        <v>0.10094047903750303</v>
      </c>
      <c r="C12" s="129">
        <v>0.21914339876386624</v>
      </c>
      <c r="D12" s="130">
        <v>0.18020618214612449</v>
      </c>
      <c r="E12" s="130">
        <v>0.14774033174212708</v>
      </c>
      <c r="F12" s="130">
        <v>0.12002115213394871</v>
      </c>
      <c r="G12" s="131">
        <v>9.5916212493059483E-2</v>
      </c>
      <c r="I12" s="129">
        <v>0.12376527482914912</v>
      </c>
      <c r="J12" s="130">
        <v>0.14774033210128423</v>
      </c>
      <c r="K12" s="130">
        <v>0.17044729233943046</v>
      </c>
      <c r="L12" s="130">
        <v>0.19205393157987638</v>
      </c>
      <c r="M12" s="131">
        <v>0.21272633318771739</v>
      </c>
    </row>
    <row r="15" spans="2:13" x14ac:dyDescent="0.2">
      <c r="C15" s="190" t="s">
        <v>226</v>
      </c>
      <c r="D15" s="191"/>
      <c r="E15" s="191"/>
      <c r="F15" s="191"/>
      <c r="G15" s="192"/>
      <c r="I15" s="190" t="s">
        <v>377</v>
      </c>
      <c r="J15" s="191"/>
      <c r="K15" s="191"/>
      <c r="L15" s="191"/>
      <c r="M15" s="192"/>
    </row>
    <row r="16" spans="2:13" x14ac:dyDescent="0.2">
      <c r="C16" s="126"/>
      <c r="D16" s="21"/>
      <c r="E16" s="127"/>
      <c r="F16" s="21"/>
      <c r="G16" s="128"/>
      <c r="I16" s="126"/>
      <c r="J16" s="21"/>
      <c r="K16" s="127"/>
      <c r="L16" s="21"/>
      <c r="M16" s="128"/>
    </row>
    <row r="17" spans="3:13" x14ac:dyDescent="0.2">
      <c r="C17" s="166">
        <v>4</v>
      </c>
      <c r="D17" s="167">
        <v>4.5</v>
      </c>
      <c r="E17" s="167">
        <v>5</v>
      </c>
      <c r="F17" s="167">
        <v>5.5</v>
      </c>
      <c r="G17" s="168">
        <v>6</v>
      </c>
      <c r="I17" s="163">
        <v>0.01</v>
      </c>
      <c r="J17" s="164">
        <v>0.02</v>
      </c>
      <c r="K17" s="164">
        <v>0.03</v>
      </c>
      <c r="L17" s="164">
        <v>0.04</v>
      </c>
      <c r="M17" s="165">
        <v>0.05</v>
      </c>
    </row>
    <row r="18" spans="3:13" x14ac:dyDescent="0.2">
      <c r="C18" s="129">
        <v>-1.0498665093116144E-2</v>
      </c>
      <c r="D18" s="130">
        <v>6.3623404900364555E-2</v>
      </c>
      <c r="E18" s="130">
        <v>0.12146681172052265</v>
      </c>
      <c r="F18" s="130">
        <v>0.16937192682745383</v>
      </c>
      <c r="G18" s="131">
        <v>0.21051129124021939</v>
      </c>
      <c r="I18" s="129">
        <v>9.8345967213405938E-2</v>
      </c>
      <c r="J18" s="130">
        <v>0.12376527495923195</v>
      </c>
      <c r="K18" s="130">
        <v>0.14774033210128423</v>
      </c>
      <c r="L18" s="130">
        <v>0.17044729233943046</v>
      </c>
      <c r="M18" s="131">
        <v>0.19205393157987638</v>
      </c>
    </row>
    <row r="21" spans="3:13" x14ac:dyDescent="0.2">
      <c r="G21" s="133"/>
      <c r="H21" s="134"/>
      <c r="I21" s="132" t="s">
        <v>378</v>
      </c>
      <c r="J21" s="134"/>
      <c r="K21" s="135"/>
    </row>
    <row r="22" spans="3:13" x14ac:dyDescent="0.2">
      <c r="G22" s="70"/>
      <c r="I22" s="21"/>
      <c r="K22" s="118"/>
    </row>
    <row r="23" spans="3:13" x14ac:dyDescent="0.2">
      <c r="G23" s="172">
        <v>0.01</v>
      </c>
      <c r="H23" s="173">
        <v>0.02</v>
      </c>
      <c r="I23" s="173">
        <v>0.03</v>
      </c>
      <c r="J23" s="173">
        <v>0.04</v>
      </c>
      <c r="K23" s="174">
        <v>0.05</v>
      </c>
    </row>
    <row r="24" spans="3:13" x14ac:dyDescent="0.2">
      <c r="E24" s="182"/>
      <c r="F24" s="175">
        <v>0.01</v>
      </c>
      <c r="G24" s="176">
        <v>6.659112999345207E-2</v>
      </c>
      <c r="H24" s="176">
        <v>9.4432767092097247E-2</v>
      </c>
      <c r="I24" s="176">
        <v>0.12058932107419151</v>
      </c>
      <c r="J24" s="176">
        <v>0.14519576974313853</v>
      </c>
      <c r="K24" s="178">
        <v>0.16844449838006592</v>
      </c>
    </row>
    <row r="25" spans="3:13" x14ac:dyDescent="0.2">
      <c r="E25" s="183"/>
      <c r="F25" s="171">
        <v>0.02</v>
      </c>
      <c r="G25" s="122">
        <v>9.4432767071373158E-2</v>
      </c>
      <c r="H25" s="122">
        <v>0.12058932107419151</v>
      </c>
      <c r="I25" s="122">
        <v>0.14519576974313853</v>
      </c>
      <c r="J25" s="122">
        <v>0.16844449838006592</v>
      </c>
      <c r="K25" s="179">
        <v>0.190528026896154</v>
      </c>
    </row>
    <row r="26" spans="3:13" x14ac:dyDescent="0.2">
      <c r="E26" s="184" t="s">
        <v>383</v>
      </c>
      <c r="F26" s="171">
        <v>0.03</v>
      </c>
      <c r="G26" s="122">
        <v>0.12058932108708786</v>
      </c>
      <c r="H26" s="122">
        <v>0.14519576974313853</v>
      </c>
      <c r="I26" s="122">
        <v>0.16844449838006592</v>
      </c>
      <c r="J26" s="122">
        <v>0.190528026896154</v>
      </c>
      <c r="K26" s="179">
        <v>0.21162246205606805</v>
      </c>
    </row>
    <row r="27" spans="3:13" x14ac:dyDescent="0.2">
      <c r="E27" s="183"/>
      <c r="F27" s="171">
        <v>0.04</v>
      </c>
      <c r="G27" s="122">
        <v>0.1451957697540347</v>
      </c>
      <c r="H27" s="122">
        <v>0.16844449838006592</v>
      </c>
      <c r="I27" s="122">
        <v>0.190528026896154</v>
      </c>
      <c r="J27" s="122">
        <v>0.21162246205606805</v>
      </c>
      <c r="K27" s="179">
        <v>0.23176987432331075</v>
      </c>
    </row>
    <row r="28" spans="3:13" x14ac:dyDescent="0.2">
      <c r="E28" s="185"/>
      <c r="F28" s="181">
        <v>0.05</v>
      </c>
      <c r="G28" s="177">
        <v>0.16844449836338038</v>
      </c>
      <c r="H28" s="177">
        <v>0.190528026896154</v>
      </c>
      <c r="I28" s="177">
        <v>0.21162246205606805</v>
      </c>
      <c r="J28" s="177">
        <v>0.23176987432331075</v>
      </c>
      <c r="K28" s="180">
        <v>0.25115285637586182</v>
      </c>
    </row>
    <row r="30" spans="3:13" x14ac:dyDescent="0.2">
      <c r="C30" s="158"/>
      <c r="D30" s="158"/>
      <c r="E30" s="158"/>
      <c r="F30" s="158"/>
      <c r="G30" s="158"/>
    </row>
    <row r="32" spans="3:13" x14ac:dyDescent="0.2">
      <c r="H32" s="21"/>
    </row>
    <row r="33" spans="8:8" x14ac:dyDescent="0.2">
      <c r="H33" s="21"/>
    </row>
    <row r="34" spans="8:8" x14ac:dyDescent="0.2">
      <c r="H34" s="144"/>
    </row>
    <row r="35" spans="8:8" x14ac:dyDescent="0.2">
      <c r="H35" s="158"/>
    </row>
  </sheetData>
  <mergeCells count="6">
    <mergeCell ref="C15:G15"/>
    <mergeCell ref="C3:G3"/>
    <mergeCell ref="C9:G9"/>
    <mergeCell ref="I3:M3"/>
    <mergeCell ref="I9:M9"/>
    <mergeCell ref="I15:M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Assumptions</vt:lpstr>
      <vt:lpstr>Sources &amp; Uses</vt:lpstr>
      <vt:lpstr>Financial Statements</vt:lpstr>
      <vt:lpstr>Schedules</vt:lpstr>
      <vt:lpstr>Loan Terms Derivation</vt:lpstr>
      <vt:lpstr>Tax Schedules </vt:lpstr>
      <vt:lpstr>Exit Waterfall</vt:lpstr>
      <vt:lpstr>Ratios &amp; Statistics</vt:lpstr>
      <vt:lpstr>Sensitivity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Polley, Camden</dc:creator>
  <cp:lastModifiedBy>Polley, Camden</cp:lastModifiedBy>
  <dcterms:created xsi:type="dcterms:W3CDTF">2025-09-16T20:18:17Z</dcterms:created>
  <dcterms:modified xsi:type="dcterms:W3CDTF">2025-11-06T21:45:15Z</dcterms:modified>
</cp:coreProperties>
</file>